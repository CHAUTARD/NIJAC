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F:\wamp64\www\NIJAC\Importation\"/>
    </mc:Choice>
  </mc:AlternateContent>
  <xr:revisionPtr revIDLastSave="0" documentId="8_{F711726D-2B8C-4B5A-93BE-1CE4DDADD7B4}" xr6:coauthVersionLast="47" xr6:coauthVersionMax="47" xr10:uidLastSave="{00000000-0000-0000-0000-000000000000}"/>
  <bookViews>
    <workbookView xWindow="780" yWindow="780" windowWidth="24210" windowHeight="15135" activeTab="3" xr2:uid="{95CCDF4E-BD40-4197-87F2-1D059174D379}"/>
  </bookViews>
  <sheets>
    <sheet name="Liste des JA" sheetId="1" r:id="rId1"/>
    <sheet name="dates_rencontres" sheetId="2" r:id="rId2"/>
    <sheet name="Convocation JA" sheetId="3" r:id="rId3"/>
    <sheet name="stats" sheetId="6" r:id="rId4"/>
    <sheet name="Correspondant" sheetId="4" state="hidden" r:id="rId5"/>
    <sheet name="liste_club" sheetId="5" state="hidden" r:id="rId6"/>
  </sheets>
  <definedNames>
    <definedName name="_xlnm._FilterDatabase" localSheetId="0" hidden="1">#REF!</definedName>
    <definedName name="code_JA" localSheetId="2">OFFSET(#REF!,0,0,COUNTA(#REF!)-1,1)</definedName>
    <definedName name="code_JA" localSheetId="4">OFFSET(#REF!,0,0,COUNTA(#REF!)-1,1)</definedName>
    <definedName name="code_JA" localSheetId="1">OFFSET(#REF!,0,0,COUNTA(#REF!)-1,1)</definedName>
    <definedName name="code_JA" localSheetId="5">OFFSET(#REF!,0,0,COUNTA(#REF!)-1,1)</definedName>
    <definedName name="code_JA">OFFSET('Liste des JA'!$P$2,0,0,COUNTA('Liste des JA'!$P:$P)-1,1)</definedName>
    <definedName name="departement" localSheetId="2">#REF!</definedName>
    <definedName name="departement" localSheetId="4">#REF!</definedName>
    <definedName name="departement" localSheetId="1">#REF!</definedName>
    <definedName name="departement" localSheetId="5">#REF!</definedName>
    <definedName name="departement">'Liste des JA'!$Q$1</definedName>
    <definedName name="departement1" localSheetId="2">#REF!</definedName>
    <definedName name="departement1" localSheetId="4">#REF!</definedName>
    <definedName name="departement1" localSheetId="1">#REF!</definedName>
    <definedName name="departement1" localSheetId="5">#REF!</definedName>
    <definedName name="departement1">'Liste des JA'!$Q$2</definedName>
    <definedName name="departement2" localSheetId="2">#REF!</definedName>
    <definedName name="departement2" localSheetId="4">#REF!</definedName>
    <definedName name="departement2" localSheetId="1">#REF!</definedName>
    <definedName name="departement2" localSheetId="5">#REF!</definedName>
    <definedName name="departement2">'Liste des JA'!$Q$3</definedName>
    <definedName name="departement3" localSheetId="2">#REF!</definedName>
    <definedName name="departement3" localSheetId="4">#REF!</definedName>
    <definedName name="departement3" localSheetId="1">#REF!</definedName>
    <definedName name="departement3" localSheetId="5">#REF!</definedName>
    <definedName name="departement3">'Liste des JA'!$Q$4</definedName>
    <definedName name="departement4" localSheetId="2">#REF!</definedName>
    <definedName name="departement4" localSheetId="4">#REF!</definedName>
    <definedName name="departement4" localSheetId="1">#REF!</definedName>
    <definedName name="departement4" localSheetId="5">#REF!</definedName>
    <definedName name="departement4">'Liste des JA'!$Q$5</definedName>
    <definedName name="DonnéesExternes_2" localSheetId="0" hidden="1">'Liste des JA'!#REF!</definedName>
    <definedName name="liste_code" localSheetId="2">_xlfn._xlws.SORT(OFFSET(#REF!,0,0,COUNTA(p,p)-1,1),1,-1)</definedName>
    <definedName name="liste_code" localSheetId="4">_xlfn._xlws.SORT(OFFSET(#REF!,0,0,COUNTA(p,p)-1,1),1,-1)</definedName>
    <definedName name="liste_code" localSheetId="1">_xlfn._xlws.SORT(OFFSET(#REF!,0,0,COUNTA(p,p)-1,1),1,-1)</definedName>
    <definedName name="liste_code" localSheetId="5">_xlfn._xlws.SORT(OFFSET(#REF!,0,0,COUNTA(p,p)-1,1),1,-1)</definedName>
    <definedName name="liste_code">_xlfn._xlws.SORT(OFFSET('Liste des JA'!$P$2,0,0,COUNTA(p,p)-1,1),1,-1)</definedName>
    <definedName name="total_frais_JA" localSheetId="2">OFFSET(#REF!,0,0,COUNTA(#REF!)-1,1)</definedName>
    <definedName name="total_frais_JA" localSheetId="4">OFFSET(#REF!,0,0,COUNTA(#REF!)-1,1)</definedName>
    <definedName name="total_frais_JA" localSheetId="1">OFFSET(#REF!,0,0,COUNTA(#REF!)-1,1)</definedName>
    <definedName name="total_frais_JA" localSheetId="5">OFFSET(#REF!,0,0,COUNTA(#REF!)-1,1)</definedName>
    <definedName name="total_frais_JA">OFFSET('Liste des JA'!$P$2,0,0,COUNTA('Liste des JA'!XEP:XEP)-1,1)</definedName>
    <definedName name="_xlnm.Print_Area" localSheetId="2">'Convocation JA'!$A$1:$G$44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" i="1" l="1" a="1"/>
  <c r="Z2" i="2" a="1"/>
  <c r="B2" i="6"/>
  <c r="R2" i="6" a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C2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A2" i="6" a="1"/>
  <c r="F20" i="3"/>
  <c r="C20" i="3"/>
  <c r="AB2" i="2" a="1"/>
  <c r="AA2" i="2" a="1"/>
  <c r="V89" i="2"/>
  <c r="R3" i="2"/>
  <c r="S3" i="2"/>
  <c r="V3" i="2"/>
  <c r="R4" i="2"/>
  <c r="S4" i="2"/>
  <c r="V4" i="2"/>
  <c r="R5" i="2"/>
  <c r="S5" i="2"/>
  <c r="V5" i="2"/>
  <c r="R6" i="2"/>
  <c r="S6" i="2"/>
  <c r="V6" i="2"/>
  <c r="R7" i="2"/>
  <c r="S7" i="2"/>
  <c r="V7" i="2"/>
  <c r="R8" i="2"/>
  <c r="S8" i="2"/>
  <c r="V8" i="2"/>
  <c r="R9" i="2"/>
  <c r="S9" i="2"/>
  <c r="V9" i="2"/>
  <c r="R10" i="2"/>
  <c r="S10" i="2"/>
  <c r="V10" i="2"/>
  <c r="R11" i="2"/>
  <c r="S11" i="2"/>
  <c r="V11" i="2"/>
  <c r="R12" i="2"/>
  <c r="S12" i="2"/>
  <c r="V12" i="2"/>
  <c r="R13" i="2"/>
  <c r="S13" i="2"/>
  <c r="V13" i="2"/>
  <c r="R14" i="2"/>
  <c r="S14" i="2"/>
  <c r="V14" i="2"/>
  <c r="R15" i="2"/>
  <c r="S15" i="2"/>
  <c r="V15" i="2"/>
  <c r="R16" i="2"/>
  <c r="S16" i="2"/>
  <c r="V16" i="2"/>
  <c r="R17" i="2"/>
  <c r="S17" i="2"/>
  <c r="V17" i="2"/>
  <c r="R18" i="2"/>
  <c r="S18" i="2"/>
  <c r="V18" i="2"/>
  <c r="R19" i="2"/>
  <c r="S19" i="2"/>
  <c r="V19" i="2"/>
  <c r="R20" i="2"/>
  <c r="S20" i="2"/>
  <c r="V20" i="2"/>
  <c r="R21" i="2"/>
  <c r="S21" i="2"/>
  <c r="V21" i="2"/>
  <c r="R22" i="2"/>
  <c r="S22" i="2"/>
  <c r="V22" i="2"/>
  <c r="R23" i="2"/>
  <c r="S23" i="2"/>
  <c r="V23" i="2"/>
  <c r="R24" i="2"/>
  <c r="S24" i="2"/>
  <c r="V24" i="2"/>
  <c r="R25" i="2"/>
  <c r="S25" i="2"/>
  <c r="V25" i="2"/>
  <c r="R26" i="2"/>
  <c r="S26" i="2"/>
  <c r="V26" i="2"/>
  <c r="R27" i="2"/>
  <c r="S27" i="2"/>
  <c r="V27" i="2"/>
  <c r="R28" i="2"/>
  <c r="S28" i="2"/>
  <c r="V28" i="2"/>
  <c r="R29" i="2"/>
  <c r="S29" i="2"/>
  <c r="V29" i="2"/>
  <c r="R30" i="2"/>
  <c r="S30" i="2"/>
  <c r="V30" i="2"/>
  <c r="R31" i="2"/>
  <c r="S31" i="2"/>
  <c r="V31" i="2"/>
  <c r="R32" i="2"/>
  <c r="S32" i="2"/>
  <c r="V32" i="2"/>
  <c r="R33" i="2"/>
  <c r="S33" i="2"/>
  <c r="V33" i="2"/>
  <c r="R34" i="2"/>
  <c r="S34" i="2"/>
  <c r="V34" i="2"/>
  <c r="R35" i="2"/>
  <c r="S35" i="2"/>
  <c r="V35" i="2"/>
  <c r="R36" i="2"/>
  <c r="S36" i="2"/>
  <c r="V36" i="2"/>
  <c r="R37" i="2"/>
  <c r="S37" i="2"/>
  <c r="V37" i="2"/>
  <c r="R38" i="2"/>
  <c r="S38" i="2"/>
  <c r="V38" i="2"/>
  <c r="R39" i="2"/>
  <c r="S39" i="2"/>
  <c r="V39" i="2"/>
  <c r="R40" i="2"/>
  <c r="S40" i="2"/>
  <c r="V40" i="2"/>
  <c r="R41" i="2"/>
  <c r="S41" i="2"/>
  <c r="V41" i="2"/>
  <c r="R42" i="2"/>
  <c r="S42" i="2"/>
  <c r="V42" i="2"/>
  <c r="R43" i="2"/>
  <c r="S43" i="2"/>
  <c r="V43" i="2"/>
  <c r="R44" i="2"/>
  <c r="S44" i="2"/>
  <c r="V44" i="2"/>
  <c r="R45" i="2"/>
  <c r="S45" i="2"/>
  <c r="V45" i="2"/>
  <c r="R46" i="2"/>
  <c r="S46" i="2"/>
  <c r="V46" i="2"/>
  <c r="R47" i="2"/>
  <c r="S47" i="2"/>
  <c r="V47" i="2"/>
  <c r="R48" i="2"/>
  <c r="S48" i="2"/>
  <c r="V48" i="2"/>
  <c r="R49" i="2"/>
  <c r="S49" i="2"/>
  <c r="V49" i="2"/>
  <c r="R50" i="2"/>
  <c r="S50" i="2"/>
  <c r="V50" i="2"/>
  <c r="R51" i="2"/>
  <c r="S51" i="2"/>
  <c r="V51" i="2"/>
  <c r="R52" i="2"/>
  <c r="S52" i="2"/>
  <c r="V52" i="2"/>
  <c r="R53" i="2"/>
  <c r="S53" i="2"/>
  <c r="V53" i="2"/>
  <c r="R54" i="2"/>
  <c r="S54" i="2"/>
  <c r="V54" i="2"/>
  <c r="R55" i="2"/>
  <c r="S55" i="2"/>
  <c r="V55" i="2"/>
  <c r="R56" i="2"/>
  <c r="S56" i="2"/>
  <c r="V56" i="2"/>
  <c r="R57" i="2"/>
  <c r="S57" i="2"/>
  <c r="V57" i="2"/>
  <c r="R58" i="2"/>
  <c r="S58" i="2"/>
  <c r="V58" i="2"/>
  <c r="R59" i="2"/>
  <c r="S59" i="2"/>
  <c r="V59" i="2"/>
  <c r="R60" i="2"/>
  <c r="S60" i="2"/>
  <c r="V60" i="2"/>
  <c r="R61" i="2"/>
  <c r="S61" i="2"/>
  <c r="V61" i="2"/>
  <c r="R62" i="2"/>
  <c r="S62" i="2"/>
  <c r="V62" i="2"/>
  <c r="R63" i="2"/>
  <c r="S63" i="2"/>
  <c r="V63" i="2"/>
  <c r="R64" i="2"/>
  <c r="S64" i="2"/>
  <c r="V64" i="2"/>
  <c r="R65" i="2"/>
  <c r="S65" i="2"/>
  <c r="V65" i="2"/>
  <c r="R66" i="2"/>
  <c r="S66" i="2"/>
  <c r="V66" i="2"/>
  <c r="R67" i="2"/>
  <c r="S67" i="2"/>
  <c r="V67" i="2"/>
  <c r="R68" i="2"/>
  <c r="S68" i="2"/>
  <c r="V68" i="2"/>
  <c r="R69" i="2"/>
  <c r="S69" i="2"/>
  <c r="V69" i="2"/>
  <c r="R70" i="2"/>
  <c r="S70" i="2"/>
  <c r="V70" i="2"/>
  <c r="R71" i="2"/>
  <c r="S71" i="2"/>
  <c r="V71" i="2"/>
  <c r="R72" i="2"/>
  <c r="S72" i="2"/>
  <c r="V72" i="2"/>
  <c r="R73" i="2"/>
  <c r="S73" i="2"/>
  <c r="V73" i="2"/>
  <c r="R74" i="2"/>
  <c r="S74" i="2"/>
  <c r="V74" i="2"/>
  <c r="R75" i="2"/>
  <c r="S75" i="2"/>
  <c r="V75" i="2"/>
  <c r="R76" i="2"/>
  <c r="S76" i="2"/>
  <c r="V76" i="2"/>
  <c r="R77" i="2"/>
  <c r="S77" i="2"/>
  <c r="V77" i="2"/>
  <c r="R78" i="2"/>
  <c r="S78" i="2"/>
  <c r="V78" i="2"/>
  <c r="R79" i="2"/>
  <c r="S79" i="2"/>
  <c r="V79" i="2"/>
  <c r="R80" i="2"/>
  <c r="S80" i="2"/>
  <c r="V80" i="2"/>
  <c r="R81" i="2"/>
  <c r="S81" i="2"/>
  <c r="V81" i="2"/>
  <c r="R82" i="2"/>
  <c r="S82" i="2"/>
  <c r="V82" i="2"/>
  <c r="R83" i="2"/>
  <c r="S83" i="2"/>
  <c r="V83" i="2"/>
  <c r="R84" i="2"/>
  <c r="S84" i="2"/>
  <c r="V84" i="2"/>
  <c r="R85" i="2"/>
  <c r="S85" i="2"/>
  <c r="V85" i="2"/>
  <c r="R86" i="2"/>
  <c r="S86" i="2"/>
  <c r="V86" i="2"/>
  <c r="R87" i="2"/>
  <c r="S87" i="2"/>
  <c r="V87" i="2"/>
  <c r="R88" i="2"/>
  <c r="S88" i="2"/>
  <c r="V88" i="2"/>
  <c r="R89" i="2"/>
  <c r="S89" i="2"/>
  <c r="R90" i="2"/>
  <c r="S90" i="2"/>
  <c r="V90" i="2"/>
  <c r="R91" i="2"/>
  <c r="S91" i="2"/>
  <c r="V91" i="2"/>
  <c r="R92" i="2"/>
  <c r="S92" i="2"/>
  <c r="V92" i="2"/>
  <c r="R93" i="2"/>
  <c r="S93" i="2"/>
  <c r="V93" i="2"/>
  <c r="R94" i="2"/>
  <c r="S94" i="2"/>
  <c r="V94" i="2"/>
  <c r="R95" i="2"/>
  <c r="S95" i="2"/>
  <c r="V95" i="2"/>
  <c r="R96" i="2"/>
  <c r="S96" i="2"/>
  <c r="V96" i="2"/>
  <c r="R97" i="2"/>
  <c r="S97" i="2"/>
  <c r="V97" i="2"/>
  <c r="R98" i="2"/>
  <c r="S98" i="2"/>
  <c r="V98" i="2"/>
  <c r="R99" i="2"/>
  <c r="S99" i="2"/>
  <c r="V99" i="2"/>
  <c r="R100" i="2"/>
  <c r="S100" i="2"/>
  <c r="V100" i="2"/>
  <c r="R101" i="2"/>
  <c r="S101" i="2"/>
  <c r="V101" i="2"/>
  <c r="R102" i="2"/>
  <c r="S102" i="2"/>
  <c r="V102" i="2"/>
  <c r="R103" i="2"/>
  <c r="S103" i="2"/>
  <c r="V103" i="2"/>
  <c r="R104" i="2"/>
  <c r="S104" i="2"/>
  <c r="V104" i="2"/>
  <c r="R105" i="2"/>
  <c r="S105" i="2"/>
  <c r="V105" i="2"/>
  <c r="R106" i="2"/>
  <c r="S106" i="2"/>
  <c r="V106" i="2"/>
  <c r="R107" i="2"/>
  <c r="S107" i="2"/>
  <c r="V107" i="2"/>
  <c r="R108" i="2"/>
  <c r="S108" i="2"/>
  <c r="V108" i="2"/>
  <c r="R109" i="2"/>
  <c r="S109" i="2"/>
  <c r="V109" i="2"/>
  <c r="R110" i="2"/>
  <c r="S110" i="2"/>
  <c r="V110" i="2"/>
  <c r="R111" i="2"/>
  <c r="S111" i="2"/>
  <c r="V111" i="2"/>
  <c r="R112" i="2"/>
  <c r="S112" i="2"/>
  <c r="V112" i="2"/>
  <c r="R113" i="2"/>
  <c r="S113" i="2"/>
  <c r="V113" i="2"/>
  <c r="R114" i="2"/>
  <c r="S114" i="2"/>
  <c r="V114" i="2"/>
  <c r="R115" i="2"/>
  <c r="S115" i="2"/>
  <c r="V115" i="2"/>
  <c r="R116" i="2"/>
  <c r="S116" i="2"/>
  <c r="V116" i="2"/>
  <c r="R117" i="2"/>
  <c r="S117" i="2"/>
  <c r="V117" i="2"/>
  <c r="R118" i="2"/>
  <c r="S118" i="2"/>
  <c r="V118" i="2"/>
  <c r="R119" i="2"/>
  <c r="S119" i="2"/>
  <c r="V119" i="2"/>
  <c r="R120" i="2"/>
  <c r="S120" i="2"/>
  <c r="V120" i="2"/>
  <c r="R121" i="2"/>
  <c r="S121" i="2"/>
  <c r="V121" i="2"/>
  <c r="R122" i="2"/>
  <c r="S122" i="2"/>
  <c r="V122" i="2"/>
  <c r="R123" i="2"/>
  <c r="S123" i="2"/>
  <c r="V123" i="2"/>
  <c r="R124" i="2"/>
  <c r="S124" i="2"/>
  <c r="V124" i="2"/>
  <c r="R125" i="2"/>
  <c r="S125" i="2"/>
  <c r="V125" i="2"/>
  <c r="R126" i="2"/>
  <c r="S126" i="2"/>
  <c r="V126" i="2"/>
  <c r="R127" i="2"/>
  <c r="S127" i="2"/>
  <c r="V127" i="2"/>
  <c r="R128" i="2"/>
  <c r="S128" i="2"/>
  <c r="V128" i="2"/>
  <c r="R129" i="2"/>
  <c r="S129" i="2"/>
  <c r="V129" i="2"/>
  <c r="R130" i="2"/>
  <c r="S130" i="2"/>
  <c r="V130" i="2"/>
  <c r="R131" i="2"/>
  <c r="S131" i="2"/>
  <c r="V131" i="2"/>
  <c r="R132" i="2"/>
  <c r="S132" i="2"/>
  <c r="V132" i="2"/>
  <c r="R133" i="2"/>
  <c r="S133" i="2"/>
  <c r="V133" i="2"/>
  <c r="R134" i="2"/>
  <c r="S134" i="2"/>
  <c r="V134" i="2"/>
  <c r="R135" i="2"/>
  <c r="S135" i="2"/>
  <c r="V135" i="2"/>
  <c r="R136" i="2"/>
  <c r="S136" i="2"/>
  <c r="V136" i="2"/>
  <c r="R137" i="2"/>
  <c r="S137" i="2"/>
  <c r="V137" i="2"/>
  <c r="R138" i="2"/>
  <c r="S138" i="2"/>
  <c r="V138" i="2"/>
  <c r="R139" i="2"/>
  <c r="S139" i="2"/>
  <c r="V139" i="2"/>
  <c r="R140" i="2"/>
  <c r="S140" i="2"/>
  <c r="V140" i="2"/>
  <c r="R141" i="2"/>
  <c r="S141" i="2"/>
  <c r="V141" i="2"/>
  <c r="R142" i="2"/>
  <c r="S142" i="2"/>
  <c r="V142" i="2"/>
  <c r="R143" i="2"/>
  <c r="S143" i="2"/>
  <c r="V143" i="2"/>
  <c r="R144" i="2"/>
  <c r="S144" i="2"/>
  <c r="V144" i="2"/>
  <c r="R145" i="2"/>
  <c r="S145" i="2"/>
  <c r="V145" i="2"/>
  <c r="R146" i="2"/>
  <c r="S146" i="2"/>
  <c r="V146" i="2"/>
  <c r="R147" i="2"/>
  <c r="S147" i="2"/>
  <c r="V147" i="2"/>
  <c r="R148" i="2"/>
  <c r="S148" i="2"/>
  <c r="V148" i="2"/>
  <c r="R149" i="2"/>
  <c r="S149" i="2"/>
  <c r="V149" i="2"/>
  <c r="R150" i="2"/>
  <c r="S150" i="2"/>
  <c r="V150" i="2"/>
  <c r="R151" i="2"/>
  <c r="S151" i="2"/>
  <c r="V151" i="2"/>
  <c r="R152" i="2"/>
  <c r="S152" i="2"/>
  <c r="V152" i="2"/>
  <c r="R153" i="2"/>
  <c r="S153" i="2"/>
  <c r="V153" i="2"/>
  <c r="R154" i="2"/>
  <c r="S154" i="2"/>
  <c r="V154" i="2"/>
  <c r="R155" i="2"/>
  <c r="S155" i="2"/>
  <c r="V155" i="2"/>
  <c r="R156" i="2"/>
  <c r="S156" i="2"/>
  <c r="V156" i="2"/>
  <c r="R157" i="2"/>
  <c r="S157" i="2"/>
  <c r="V157" i="2"/>
  <c r="R158" i="2"/>
  <c r="S158" i="2"/>
  <c r="V158" i="2"/>
  <c r="R159" i="2"/>
  <c r="S159" i="2"/>
  <c r="V159" i="2"/>
  <c r="R160" i="2"/>
  <c r="S160" i="2"/>
  <c r="V160" i="2"/>
  <c r="R161" i="2"/>
  <c r="S161" i="2"/>
  <c r="V161" i="2"/>
  <c r="R162" i="2"/>
  <c r="S162" i="2"/>
  <c r="V162" i="2"/>
  <c r="R163" i="2"/>
  <c r="S163" i="2"/>
  <c r="V163" i="2"/>
  <c r="R164" i="2"/>
  <c r="S164" i="2"/>
  <c r="V164" i="2"/>
  <c r="R165" i="2"/>
  <c r="S165" i="2"/>
  <c r="V165" i="2"/>
  <c r="R166" i="2"/>
  <c r="S166" i="2"/>
  <c r="V166" i="2"/>
  <c r="R167" i="2"/>
  <c r="S167" i="2"/>
  <c r="V167" i="2"/>
  <c r="R168" i="2"/>
  <c r="S168" i="2"/>
  <c r="V168" i="2"/>
  <c r="R169" i="2"/>
  <c r="S169" i="2"/>
  <c r="V169" i="2"/>
  <c r="R170" i="2"/>
  <c r="S170" i="2"/>
  <c r="V170" i="2"/>
  <c r="R171" i="2"/>
  <c r="S171" i="2"/>
  <c r="V171" i="2"/>
  <c r="C28" i="3"/>
  <c r="P4" i="3"/>
  <c r="G30" i="3"/>
  <c r="AE2" i="1" l="1"/>
  <c r="C15" i="6" a="1"/>
  <c r="O15" i="6" s="1"/>
  <c r="C4" i="6" a="1"/>
  <c r="O4" i="6" s="1"/>
  <c r="C23" i="6" a="1"/>
  <c r="M23" i="6" s="1"/>
  <c r="C8" i="6" a="1"/>
  <c r="O8" i="6" s="1"/>
  <c r="B13" i="6"/>
  <c r="B18" i="6"/>
  <c r="C2" i="6" a="1"/>
  <c r="M2" i="6" s="1"/>
  <c r="B24" i="6"/>
  <c r="B8" i="6"/>
  <c r="C7" i="6" a="1"/>
  <c r="O7" i="6" s="1"/>
  <c r="B14" i="6"/>
  <c r="C17" i="6" a="1"/>
  <c r="O17" i="6" s="1"/>
  <c r="C21" i="6" a="1"/>
  <c r="M21" i="6" s="1"/>
  <c r="B12" i="6"/>
  <c r="B17" i="6"/>
  <c r="C5" i="6" a="1"/>
  <c r="O5" i="6" s="1"/>
  <c r="C9" i="6" a="1"/>
  <c r="O9" i="6" s="1"/>
  <c r="C13" i="6" a="1"/>
  <c r="M13" i="6" s="1"/>
  <c r="B16" i="6"/>
  <c r="C16" i="6" a="1"/>
  <c r="M16" i="6" s="1"/>
  <c r="B11" i="6"/>
  <c r="C14" i="6" a="1"/>
  <c r="M14" i="6" s="1"/>
  <c r="C24" i="6" a="1"/>
  <c r="N24" i="6" s="1"/>
  <c r="B21" i="6"/>
  <c r="B5" i="6"/>
  <c r="C20" i="6" a="1"/>
  <c r="O20" i="6" s="1"/>
  <c r="B9" i="6"/>
  <c r="C26" i="6" a="1"/>
  <c r="M26" i="6" s="1"/>
  <c r="C12" i="6" a="1"/>
  <c r="O12" i="6" s="1"/>
  <c r="B23" i="6"/>
  <c r="B7" i="6"/>
  <c r="C19" i="6" a="1"/>
  <c r="M19" i="6" s="1"/>
  <c r="C6" i="6" a="1"/>
  <c r="M6" i="6" s="1"/>
  <c r="B15" i="6"/>
  <c r="C3" i="6" a="1"/>
  <c r="O3" i="6" s="1"/>
  <c r="B26" i="6"/>
  <c r="B10" i="6"/>
  <c r="B25" i="6"/>
  <c r="C25" i="6" a="1"/>
  <c r="O25" i="6" s="1"/>
  <c r="C11" i="6" a="1"/>
  <c r="O11" i="6" s="1"/>
  <c r="B22" i="6"/>
  <c r="B6" i="6"/>
  <c r="C18" i="6" a="1"/>
  <c r="O18" i="6" s="1"/>
  <c r="C10" i="6" a="1"/>
  <c r="M10" i="6" s="1"/>
  <c r="B20" i="6"/>
  <c r="B4" i="6"/>
  <c r="C22" i="6" a="1"/>
  <c r="O22" i="6" s="1"/>
  <c r="B19" i="6"/>
  <c r="B3" i="6"/>
  <c r="C9" i="3"/>
  <c r="R2" i="2"/>
  <c r="M3" i="1"/>
  <c r="M4" i="1"/>
  <c r="M5" i="1"/>
  <c r="M6" i="1"/>
  <c r="M7" i="1"/>
  <c r="M8" i="1"/>
  <c r="M13" i="1"/>
  <c r="M14" i="1"/>
  <c r="M10" i="1"/>
  <c r="M11" i="1"/>
  <c r="M12" i="1"/>
  <c r="M9" i="1"/>
  <c r="M16" i="1"/>
  <c r="M22" i="1"/>
  <c r="M21" i="1"/>
  <c r="M23" i="1"/>
  <c r="M20" i="1"/>
  <c r="M15" i="1"/>
  <c r="M17" i="1"/>
  <c r="M18" i="1"/>
  <c r="M19" i="1"/>
  <c r="M25" i="1"/>
  <c r="M24" i="1"/>
  <c r="M26" i="1"/>
  <c r="M32" i="1"/>
  <c r="M28" i="1"/>
  <c r="M30" i="1"/>
  <c r="M29" i="1"/>
  <c r="M31" i="1"/>
  <c r="M27" i="1"/>
  <c r="M37" i="1"/>
  <c r="M36" i="1"/>
  <c r="M38" i="1"/>
  <c r="M41" i="1"/>
  <c r="M33" i="1"/>
  <c r="M35" i="1"/>
  <c r="M39" i="1"/>
  <c r="M34" i="1"/>
  <c r="M40" i="1"/>
  <c r="M42" i="1"/>
  <c r="M43" i="1"/>
  <c r="M44" i="1"/>
  <c r="M48" i="1"/>
  <c r="M45" i="1"/>
  <c r="M46" i="1"/>
  <c r="M50" i="1"/>
  <c r="M49" i="1"/>
  <c r="M47" i="1"/>
  <c r="M51" i="1"/>
  <c r="M53" i="1"/>
  <c r="M60" i="1"/>
  <c r="M55" i="1"/>
  <c r="M59" i="1"/>
  <c r="M58" i="1"/>
  <c r="M57" i="1"/>
  <c r="M54" i="1"/>
  <c r="M56" i="1"/>
  <c r="M52" i="1"/>
  <c r="M61" i="1"/>
  <c r="M62" i="1"/>
  <c r="M63" i="1"/>
  <c r="M68" i="1"/>
  <c r="M64" i="1"/>
  <c r="M67" i="1"/>
  <c r="M65" i="1"/>
  <c r="M69" i="1"/>
  <c r="M66" i="1"/>
  <c r="M70" i="1"/>
  <c r="M72" i="1"/>
  <c r="M71" i="1"/>
  <c r="M73" i="1"/>
  <c r="M75" i="1"/>
  <c r="M76" i="1"/>
  <c r="M78" i="1"/>
  <c r="M77" i="1"/>
  <c r="M74" i="1"/>
  <c r="M81" i="1"/>
  <c r="M83" i="1"/>
  <c r="M85" i="1"/>
  <c r="M88" i="1"/>
  <c r="M82" i="1"/>
  <c r="M84" i="1"/>
  <c r="M96" i="1"/>
  <c r="M91" i="1"/>
  <c r="M94" i="1"/>
  <c r="M80" i="1"/>
  <c r="M89" i="1"/>
  <c r="M92" i="1"/>
  <c r="M87" i="1"/>
  <c r="M79" i="1"/>
  <c r="M86" i="1"/>
  <c r="M93" i="1"/>
  <c r="M95" i="1"/>
  <c r="M97" i="1"/>
  <c r="M98" i="1"/>
  <c r="M100" i="1"/>
  <c r="M101" i="1"/>
  <c r="M105" i="1"/>
  <c r="M103" i="1"/>
  <c r="M99" i="1"/>
  <c r="M104" i="1"/>
  <c r="M102" i="1"/>
  <c r="M106" i="1"/>
  <c r="M107" i="1"/>
  <c r="M108" i="1"/>
  <c r="M109" i="1"/>
  <c r="M110" i="1"/>
  <c r="M112" i="1"/>
  <c r="M111" i="1"/>
  <c r="M114" i="1"/>
  <c r="M113" i="1"/>
  <c r="M115" i="1"/>
  <c r="M116" i="1"/>
  <c r="M118" i="1"/>
  <c r="M117" i="1"/>
  <c r="M124" i="1"/>
  <c r="M120" i="1"/>
  <c r="M122" i="1"/>
  <c r="M121" i="1"/>
  <c r="M123" i="1"/>
  <c r="M119" i="1"/>
  <c r="M125" i="1"/>
  <c r="M129" i="1"/>
  <c r="M127" i="1"/>
  <c r="M131" i="1"/>
  <c r="M126" i="1"/>
  <c r="M130" i="1"/>
  <c r="M128" i="1"/>
  <c r="M132" i="1"/>
  <c r="M133" i="1"/>
  <c r="M134" i="1"/>
  <c r="M135" i="1"/>
  <c r="M136" i="1"/>
  <c r="M137" i="1"/>
  <c r="M138" i="1"/>
  <c r="M139" i="1"/>
  <c r="M140" i="1"/>
  <c r="M142" i="1"/>
  <c r="M143" i="1"/>
  <c r="M141" i="1"/>
  <c r="M144" i="1"/>
  <c r="M145" i="1"/>
  <c r="M146" i="1"/>
  <c r="M149" i="1"/>
  <c r="M150" i="1"/>
  <c r="M147" i="1"/>
  <c r="M148" i="1"/>
  <c r="M151" i="1"/>
  <c r="M152" i="1"/>
  <c r="M153" i="1"/>
  <c r="M154" i="1"/>
  <c r="M155" i="1"/>
  <c r="M157" i="1"/>
  <c r="M158" i="1"/>
  <c r="M159" i="1"/>
  <c r="M156" i="1"/>
  <c r="M160" i="1"/>
  <c r="M165" i="1"/>
  <c r="M213" i="1"/>
  <c r="M183" i="1"/>
  <c r="M186" i="1"/>
  <c r="M166" i="1"/>
  <c r="M192" i="1"/>
  <c r="M171" i="1"/>
  <c r="M189" i="1"/>
  <c r="M177" i="1"/>
  <c r="M190" i="1"/>
  <c r="M193" i="1"/>
  <c r="M180" i="1"/>
  <c r="M185" i="1"/>
  <c r="M169" i="1"/>
  <c r="M164" i="1"/>
  <c r="M167" i="1"/>
  <c r="M191" i="1"/>
  <c r="M203" i="1"/>
  <c r="M174" i="1"/>
  <c r="M173" i="1"/>
  <c r="M178" i="1"/>
  <c r="M204" i="1"/>
  <c r="M172" i="1"/>
  <c r="M176" i="1"/>
  <c r="M163" i="1"/>
  <c r="M181" i="1"/>
  <c r="M197" i="1"/>
  <c r="M184" i="1"/>
  <c r="M200" i="1"/>
  <c r="M205" i="1"/>
  <c r="M170" i="1"/>
  <c r="M161" i="1"/>
  <c r="M194" i="1"/>
  <c r="M187" i="1"/>
  <c r="M175" i="1"/>
  <c r="M195" i="1"/>
  <c r="M201" i="1"/>
  <c r="M196" i="1"/>
  <c r="M199" i="1"/>
  <c r="M198" i="1"/>
  <c r="M182" i="1"/>
  <c r="M188" i="1"/>
  <c r="M162" i="1"/>
  <c r="M168" i="1"/>
  <c r="M179" i="1"/>
  <c r="M202" i="1"/>
  <c r="M206" i="1"/>
  <c r="M208" i="1"/>
  <c r="M207" i="1"/>
  <c r="M212" i="1"/>
  <c r="M211" i="1"/>
  <c r="M209" i="1"/>
  <c r="M210" i="1"/>
  <c r="M214" i="1"/>
  <c r="M216" i="1"/>
  <c r="M215" i="1"/>
  <c r="M225" i="1"/>
  <c r="M219" i="1"/>
  <c r="M221" i="1"/>
  <c r="M217" i="1"/>
  <c r="M226" i="1"/>
  <c r="M223" i="1"/>
  <c r="M220" i="1"/>
  <c r="M222" i="1"/>
  <c r="M224" i="1"/>
  <c r="M218" i="1"/>
  <c r="M227" i="1"/>
  <c r="M228" i="1"/>
  <c r="M230" i="1"/>
  <c r="M229" i="1"/>
  <c r="M231" i="1"/>
  <c r="M232" i="1"/>
  <c r="M233" i="1"/>
  <c r="M235" i="1"/>
  <c r="M234" i="1"/>
  <c r="M236" i="1"/>
  <c r="M237" i="1"/>
  <c r="M238" i="1"/>
  <c r="M239" i="1"/>
  <c r="M241" i="1"/>
  <c r="M240" i="1"/>
  <c r="M242" i="1"/>
  <c r="M245" i="1"/>
  <c r="M243" i="1"/>
  <c r="M247" i="1"/>
  <c r="M244" i="1"/>
  <c r="M246" i="1"/>
  <c r="M248" i="1"/>
  <c r="M249" i="1"/>
  <c r="M250" i="1"/>
  <c r="M251" i="1"/>
  <c r="M252" i="1"/>
  <c r="M254" i="1"/>
  <c r="M255" i="1"/>
  <c r="M256" i="1"/>
  <c r="M257" i="1"/>
  <c r="M258" i="1"/>
  <c r="M260" i="1"/>
  <c r="M261" i="1"/>
  <c r="M264" i="1"/>
  <c r="M265" i="1"/>
  <c r="M263" i="1"/>
  <c r="M267" i="1"/>
  <c r="M262" i="1"/>
  <c r="M266" i="1"/>
  <c r="M268" i="1"/>
  <c r="M269" i="1"/>
  <c r="M271" i="1"/>
  <c r="M270" i="1"/>
  <c r="M272" i="1"/>
  <c r="M274" i="1"/>
  <c r="M273" i="1"/>
  <c r="M275" i="1"/>
  <c r="M276" i="1"/>
  <c r="M277" i="1"/>
  <c r="M278" i="1"/>
  <c r="M279" i="1"/>
  <c r="M280" i="1"/>
  <c r="M281" i="1"/>
  <c r="M282" i="1"/>
  <c r="M283" i="1"/>
  <c r="M284" i="1"/>
  <c r="M288" i="1"/>
  <c r="M291" i="1"/>
  <c r="M290" i="1"/>
  <c r="M285" i="1"/>
  <c r="M286" i="1"/>
  <c r="M287" i="1"/>
  <c r="M289" i="1"/>
  <c r="M292" i="1"/>
  <c r="M293" i="1"/>
  <c r="M294" i="1"/>
  <c r="M295" i="1"/>
  <c r="M296" i="1"/>
  <c r="M297" i="1"/>
  <c r="M298" i="1"/>
  <c r="M299" i="1"/>
  <c r="M2" i="1"/>
  <c r="P3" i="1"/>
  <c r="P4" i="1"/>
  <c r="P5" i="1"/>
  <c r="P6" i="1"/>
  <c r="P7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4" i="1"/>
  <c r="P255" i="1"/>
  <c r="P256" i="1"/>
  <c r="P258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2" i="1"/>
  <c r="I7" i="3" a="1"/>
  <c r="O4" i="3"/>
  <c r="L5" i="3"/>
  <c r="I5" i="3"/>
  <c r="C22" i="3"/>
  <c r="F19" i="3"/>
  <c r="C19" i="3"/>
  <c r="G18" i="3"/>
  <c r="E18" i="3"/>
  <c r="C18" i="3"/>
  <c r="C11" i="3"/>
  <c r="C10" i="3"/>
  <c r="O21" i="6" l="1"/>
  <c r="N21" i="6"/>
  <c r="N23" i="6"/>
  <c r="N2" i="6"/>
  <c r="O2" i="6"/>
  <c r="N4" i="6"/>
  <c r="N13" i="6"/>
  <c r="O13" i="6"/>
  <c r="M7" i="6"/>
  <c r="M4" i="6"/>
  <c r="N17" i="6"/>
  <c r="M17" i="6"/>
  <c r="N16" i="6"/>
  <c r="N8" i="6"/>
  <c r="O16" i="6"/>
  <c r="N7" i="6"/>
  <c r="M5" i="6"/>
  <c r="M8" i="6"/>
  <c r="M15" i="6"/>
  <c r="N15" i="6"/>
  <c r="M9" i="6"/>
  <c r="N9" i="6"/>
  <c r="O23" i="6"/>
  <c r="N5" i="6"/>
  <c r="O26" i="6"/>
  <c r="M18" i="6"/>
  <c r="N14" i="6"/>
  <c r="M20" i="6"/>
  <c r="N20" i="6"/>
  <c r="M24" i="6"/>
  <c r="O24" i="6"/>
  <c r="O14" i="6"/>
  <c r="M25" i="6"/>
  <c r="N25" i="6"/>
  <c r="P25" i="6" s="1"/>
  <c r="O10" i="6"/>
  <c r="N10" i="6"/>
  <c r="N18" i="6"/>
  <c r="O6" i="6"/>
  <c r="N6" i="6"/>
  <c r="N12" i="6"/>
  <c r="M12" i="6"/>
  <c r="N22" i="6"/>
  <c r="M11" i="6"/>
  <c r="N26" i="6"/>
  <c r="N11" i="6"/>
  <c r="N3" i="6"/>
  <c r="M22" i="6"/>
  <c r="M3" i="6"/>
  <c r="N19" i="6"/>
  <c r="O19" i="6"/>
  <c r="P23" i="6"/>
  <c r="P4" i="6"/>
  <c r="P7" i="6"/>
  <c r="P2" i="6"/>
  <c r="P17" i="6"/>
  <c r="P26" i="6"/>
  <c r="P13" i="6"/>
  <c r="P20" i="6"/>
  <c r="P16" i="6"/>
  <c r="P14" i="6"/>
  <c r="P8" i="6"/>
  <c r="G3" i="3" a="1"/>
  <c r="I1" i="3" a="1"/>
  <c r="V2" i="2"/>
  <c r="S2" i="2"/>
  <c r="M253" i="1" s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R5" i="1"/>
  <c r="R4" i="1"/>
  <c r="R3" i="1"/>
  <c r="S2" i="1" a="1"/>
  <c r="R2" i="1"/>
  <c r="R1" i="1"/>
  <c r="P10" i="6" l="1"/>
  <c r="P21" i="6"/>
  <c r="P19" i="6"/>
  <c r="P5" i="6"/>
  <c r="P9" i="6"/>
  <c r="P3" i="6"/>
  <c r="P15" i="6"/>
  <c r="P24" i="6"/>
  <c r="P18" i="6"/>
  <c r="P6" i="6"/>
  <c r="P11" i="6"/>
  <c r="P22" i="6"/>
  <c r="P12" i="6"/>
  <c r="P253" i="1"/>
  <c r="P259" i="1"/>
  <c r="P8" i="1"/>
  <c r="M259" i="1"/>
  <c r="M90" i="1"/>
  <c r="P257" i="1"/>
  <c r="P88" i="1"/>
  <c r="X2" i="1" a="1"/>
  <c r="I4" i="3"/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2" i="1"/>
  <c r="AC6" i="1"/>
  <c r="AC10" i="1"/>
  <c r="AC14" i="1"/>
  <c r="AC18" i="1"/>
  <c r="AC22" i="1"/>
  <c r="AC26" i="1"/>
  <c r="AC30" i="1"/>
  <c r="AC34" i="1"/>
  <c r="AC11" i="1"/>
  <c r="AA4" i="1"/>
  <c r="AA20" i="1"/>
  <c r="AA32" i="1"/>
  <c r="AB12" i="1"/>
  <c r="AB16" i="1"/>
  <c r="AB28" i="1"/>
  <c r="AC4" i="1"/>
  <c r="AC20" i="1"/>
  <c r="AC32" i="1"/>
  <c r="AA13" i="1"/>
  <c r="AA25" i="1"/>
  <c r="AA33" i="1"/>
  <c r="AB9" i="1"/>
  <c r="AB17" i="1"/>
  <c r="AB25" i="1"/>
  <c r="AB33" i="1"/>
  <c r="AC5" i="1"/>
  <c r="AC21" i="1"/>
  <c r="AC33" i="1"/>
  <c r="AA6" i="1"/>
  <c r="AA18" i="1"/>
  <c r="AA26" i="1"/>
  <c r="AB6" i="1"/>
  <c r="AB22" i="1"/>
  <c r="AB34" i="1"/>
  <c r="AA3" i="1"/>
  <c r="AA7" i="1"/>
  <c r="AA11" i="1"/>
  <c r="AA15" i="1"/>
  <c r="AA19" i="1"/>
  <c r="AA23" i="1"/>
  <c r="AA27" i="1"/>
  <c r="AA31" i="1"/>
  <c r="AB3" i="1"/>
  <c r="AB7" i="1"/>
  <c r="AB11" i="1"/>
  <c r="AB15" i="1"/>
  <c r="AB19" i="1"/>
  <c r="AB23" i="1"/>
  <c r="AB31" i="1"/>
  <c r="AC3" i="1"/>
  <c r="AC7" i="1"/>
  <c r="AC15" i="1"/>
  <c r="AC23" i="1"/>
  <c r="AC27" i="1"/>
  <c r="AA12" i="1"/>
  <c r="AA24" i="1"/>
  <c r="AB4" i="1"/>
  <c r="AB24" i="1"/>
  <c r="AC12" i="1"/>
  <c r="AC28" i="1"/>
  <c r="AA5" i="1"/>
  <c r="AA21" i="1"/>
  <c r="AB13" i="1"/>
  <c r="AB29" i="1"/>
  <c r="AC13" i="1"/>
  <c r="AC29" i="1"/>
  <c r="AA14" i="1"/>
  <c r="AA30" i="1"/>
  <c r="AB14" i="1"/>
  <c r="AB26" i="1"/>
  <c r="AB27" i="1"/>
  <c r="AC19" i="1"/>
  <c r="AC31" i="1"/>
  <c r="AA8" i="1"/>
  <c r="AA16" i="1"/>
  <c r="AA28" i="1"/>
  <c r="AB8" i="1"/>
  <c r="AB20" i="1"/>
  <c r="AB32" i="1"/>
  <c r="AC8" i="1"/>
  <c r="AC16" i="1"/>
  <c r="AC24" i="1"/>
  <c r="AA9" i="1"/>
  <c r="AA17" i="1"/>
  <c r="AA29" i="1"/>
  <c r="AB5" i="1"/>
  <c r="AB21" i="1"/>
  <c r="AC9" i="1"/>
  <c r="AC17" i="1"/>
  <c r="AC25" i="1"/>
  <c r="AA10" i="1"/>
  <c r="AA22" i="1"/>
  <c r="AA34" i="1"/>
  <c r="AB10" i="1"/>
  <c r="AB18" i="1"/>
  <c r="AB30" i="1"/>
  <c r="W30" i="1"/>
  <c r="W33" i="1"/>
  <c r="W31" i="1"/>
  <c r="W34" i="1"/>
  <c r="W32" i="1"/>
  <c r="W2" i="1" l="1"/>
  <c r="W29" i="1" s="1"/>
  <c r="W28" i="1" s="1"/>
  <c r="W27" i="1" s="1"/>
  <c r="W26" i="1" s="1"/>
  <c r="W25" i="1" s="1"/>
  <c r="W24" i="1" s="1"/>
  <c r="W23" i="1" s="1"/>
  <c r="W22" i="1" s="1"/>
  <c r="W21" i="1" s="1"/>
  <c r="W20" i="1" s="1"/>
  <c r="W19" i="1" s="1"/>
  <c r="W18" i="1" s="1"/>
  <c r="W17" i="1" s="1"/>
  <c r="W16" i="1" s="1"/>
  <c r="W15" i="1" s="1"/>
  <c r="W14" i="1" s="1"/>
  <c r="W13" i="1" s="1"/>
  <c r="W12" i="1" s="1"/>
  <c r="W11" i="1" s="1"/>
  <c r="W10" i="1" s="1"/>
  <c r="W9" i="1" s="1"/>
  <c r="W8" i="1" s="1"/>
  <c r="W7" i="1" s="1"/>
  <c r="W6" i="1" s="1"/>
  <c r="W5" i="1" s="1"/>
  <c r="W4" i="1" s="1"/>
  <c r="W3" i="1" s="1"/>
  <c r="AA2" i="1"/>
  <c r="AB2" i="1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R2" i="6"/>
  <c r="C2" i="6"/>
  <c r="A2" i="6"/>
  <c r="I7" i="3"/>
  <c r="G3" i="3"/>
  <c r="I1" i="3"/>
  <c r="AB2" i="2"/>
  <c r="AA2" i="2"/>
  <c r="Z2" i="2"/>
  <c r="X2" i="1"/>
  <c r="S2" i="1"/>
  <c r="P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Pascal</author>
  </authors>
  <commentList>
    <comment ref="Q1" authorId="0" shapeId="0" xr:uid="{57124BD6-0874-4DF6-8B32-2C710B62A2AF}">
      <text>
        <r>
          <rPr>
            <b/>
            <sz val="9"/>
            <color indexed="81"/>
            <rFont val="Tahoma"/>
            <family val="2"/>
          </rPr>
          <t>choix du departement pour extraction des rencontres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Pascal</author>
  </authors>
  <commentList>
    <comment ref="I2" authorId="0" shapeId="0" xr:uid="{8CEE7E14-1F6B-4B0E-9707-970D263A5B13}">
      <text>
        <r>
          <rPr>
            <b/>
            <sz val="9"/>
            <color indexed="81"/>
            <rFont val="Tahoma"/>
            <family val="2"/>
          </rPr>
          <t>Choisir : Microsoft print to PDF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<sst xmlns="http://schemas.openxmlformats.org/spreadsheetml/2006/main" count="8248" uniqueCount="4148">
  <si>
    <t>Code</t>
  </si>
  <si>
    <t>N_licence</t>
  </si>
  <si>
    <t>NOM</t>
  </si>
  <si>
    <t>PRENOM</t>
  </si>
  <si>
    <t>ADRESSE</t>
  </si>
  <si>
    <t>CP</t>
  </si>
  <si>
    <t>VILLE</t>
  </si>
  <si>
    <t>e-MAIL</t>
  </si>
  <si>
    <t>TEL_DOM</t>
  </si>
  <si>
    <t>TEL_POR</t>
  </si>
  <si>
    <t>N°_CLUB</t>
  </si>
  <si>
    <t>CLUB</t>
  </si>
  <si>
    <t>prestations</t>
  </si>
  <si>
    <t>Grade</t>
  </si>
  <si>
    <t>CODE JA</t>
  </si>
  <si>
    <t>Nom</t>
  </si>
  <si>
    <t>Prenom</t>
  </si>
  <si>
    <t>Licence</t>
  </si>
  <si>
    <t>Code JA</t>
  </si>
  <si>
    <t>Nom Prenom JA</t>
  </si>
  <si>
    <t>Prestations
effectuées</t>
  </si>
  <si>
    <t>Prest. Retenues</t>
  </si>
  <si>
    <t>Kms</t>
  </si>
  <si>
    <t>Péage</t>
  </si>
  <si>
    <t>Frais JA</t>
  </si>
  <si>
    <t>ACSI</t>
  </si>
  <si>
    <t>6110051</t>
  </si>
  <si>
    <t>ACAR</t>
  </si>
  <si>
    <t>Sinan</t>
  </si>
  <si>
    <t xml:space="preserve">46,Marie Curie  </t>
  </si>
  <si>
    <t>FLERS</t>
  </si>
  <si>
    <t>sinan.61@hotmail.fr</t>
  </si>
  <si>
    <t>0233660846</t>
  </si>
  <si>
    <t>0676202172</t>
  </si>
  <si>
    <t>09610004</t>
  </si>
  <si>
    <t>FLERIEN TT</t>
  </si>
  <si>
    <t>JA1</t>
  </si>
  <si>
    <t>ADJE</t>
  </si>
  <si>
    <t>509518</t>
  </si>
  <si>
    <t>ADDE</t>
  </si>
  <si>
    <t>Jean-Paul</t>
  </si>
  <si>
    <t>Route du Moulin  Hameau Beaumont</t>
  </si>
  <si>
    <t>PIERREVILLE</t>
  </si>
  <si>
    <t>jean-paul.adde@ac-normandie.fr</t>
  </si>
  <si>
    <t>0233040747</t>
  </si>
  <si>
    <t>09500124</t>
  </si>
  <si>
    <t>LES PIEUX TENNIS DE TABLE</t>
  </si>
  <si>
    <t>ANLU</t>
  </si>
  <si>
    <t>1410490</t>
  </si>
  <si>
    <t>ANNE DIT LECOCQ</t>
  </si>
  <si>
    <t>Ludovic</t>
  </si>
  <si>
    <t xml:space="preserve">5 A Basse Rue  </t>
  </si>
  <si>
    <t>BRETTEVILLE SUR ODON</t>
  </si>
  <si>
    <t>ludovic.anne@gmail.com</t>
  </si>
  <si>
    <t>0954461694</t>
  </si>
  <si>
    <t>0619554926</t>
  </si>
  <si>
    <t>09140128</t>
  </si>
  <si>
    <t>AS SPORT. CORMELLES TENNIS TABLE</t>
  </si>
  <si>
    <t>ANPH</t>
  </si>
  <si>
    <t>1461</t>
  </si>
  <si>
    <t>ANTOINE</t>
  </si>
  <si>
    <t>Philippe</t>
  </si>
  <si>
    <t xml:space="preserve">31 Rue du Marathon La Folie Couvrechef </t>
  </si>
  <si>
    <t>CAEN</t>
  </si>
  <si>
    <t>ph14.antoine@gmx.fr</t>
  </si>
  <si>
    <t>0634227266</t>
  </si>
  <si>
    <t>09140156</t>
  </si>
  <si>
    <t>CAEN TTC</t>
  </si>
  <si>
    <t>ARLE</t>
  </si>
  <si>
    <t>279171</t>
  </si>
  <si>
    <t>ARFI</t>
  </si>
  <si>
    <t>Leon</t>
  </si>
  <si>
    <t xml:space="preserve">10 RUE DU PRE FERAY  </t>
  </si>
  <si>
    <t>ARNIERES SUR ITON</t>
  </si>
  <si>
    <t>arfileon@gmail.com</t>
  </si>
  <si>
    <t>0232387376</t>
  </si>
  <si>
    <t>0603470211</t>
  </si>
  <si>
    <t>09270006</t>
  </si>
  <si>
    <t>EVREUX ETUDIANTS CERCLE</t>
  </si>
  <si>
    <t>AUJE</t>
  </si>
  <si>
    <t>7631259</t>
  </si>
  <si>
    <t>AUGER</t>
  </si>
  <si>
    <t>Jean-Claude</t>
  </si>
  <si>
    <t xml:space="preserve">7 RUE CLAUDE MONET  </t>
  </si>
  <si>
    <t>PAVILLY</t>
  </si>
  <si>
    <t>jcaugerfr76@gmail.com</t>
  </si>
  <si>
    <t>0235916601</t>
  </si>
  <si>
    <t>0609247803</t>
  </si>
  <si>
    <t>09760041</t>
  </si>
  <si>
    <t>CP PAVILLY</t>
  </si>
  <si>
    <t>AZDI</t>
  </si>
  <si>
    <t>5014258</t>
  </si>
  <si>
    <t>AZE</t>
  </si>
  <si>
    <t>Didier</t>
  </si>
  <si>
    <t xml:space="preserve">6 Chemin du Mesnil  </t>
  </si>
  <si>
    <t>Saint Louet Sur Vire</t>
  </si>
  <si>
    <t>azedidier@yahoo.fr</t>
  </si>
  <si>
    <t>0610382408</t>
  </si>
  <si>
    <t>09500013</t>
  </si>
  <si>
    <t>COUTANCES JA TT</t>
  </si>
  <si>
    <t>14613</t>
  </si>
  <si>
    <t>BADMINGTON</t>
  </si>
  <si>
    <t>Thierry</t>
  </si>
  <si>
    <t xml:space="preserve">La Perelle  </t>
  </si>
  <si>
    <t>ST HYMER</t>
  </si>
  <si>
    <t>thierrybad@hotmail.fr</t>
  </si>
  <si>
    <t>0231643136</t>
  </si>
  <si>
    <t>0633944435</t>
  </si>
  <si>
    <t>09140054</t>
  </si>
  <si>
    <t>PONT L EVEQUE US</t>
  </si>
  <si>
    <t>7638996</t>
  </si>
  <si>
    <t>BARICAULT</t>
  </si>
  <si>
    <t>Thomas</t>
  </si>
  <si>
    <t xml:space="preserve">748 rue du Tourne Midi  </t>
  </si>
  <si>
    <t>BOIS GUILLAUME</t>
  </si>
  <si>
    <t>thomas.baricault@gmail.com</t>
  </si>
  <si>
    <t>0652769788</t>
  </si>
  <si>
    <t>09760331</t>
  </si>
  <si>
    <t>US C BOIS GUILLAUME</t>
  </si>
  <si>
    <t>7639507</t>
  </si>
  <si>
    <t>BARRE</t>
  </si>
  <si>
    <t>Ines</t>
  </si>
  <si>
    <t xml:space="preserve">2 rue pierre fortier  </t>
  </si>
  <si>
    <t>AUFFAY</t>
  </si>
  <si>
    <t>ib.ines.barre@gmail.com</t>
  </si>
  <si>
    <t>0628596105</t>
  </si>
  <si>
    <t>09760107</t>
  </si>
  <si>
    <t>ALCL TT GRAND QUEVILLY</t>
  </si>
  <si>
    <t>BANA</t>
  </si>
  <si>
    <t>5016277</t>
  </si>
  <si>
    <t>BASTIEN</t>
  </si>
  <si>
    <t>Natacha</t>
  </si>
  <si>
    <t xml:space="preserve">14 Impasse des courts champs  </t>
  </si>
  <si>
    <t>MARIGNY</t>
  </si>
  <si>
    <t>natlaisney@yahoo.fr</t>
  </si>
  <si>
    <t>0233558313</t>
  </si>
  <si>
    <t>0647700905</t>
  </si>
  <si>
    <t>09500122</t>
  </si>
  <si>
    <t>BORDS DE VIRE AS</t>
  </si>
  <si>
    <t>BARO</t>
  </si>
  <si>
    <t>704392</t>
  </si>
  <si>
    <t>Romain</t>
  </si>
  <si>
    <t>romain.149@hotmail.fr</t>
  </si>
  <si>
    <t>02 33 55 83 13</t>
  </si>
  <si>
    <t>06 89 11 15 32</t>
  </si>
  <si>
    <t>09500025</t>
  </si>
  <si>
    <t>ISIGNY-MONTIGNY ENT P</t>
  </si>
  <si>
    <t>BAAL</t>
  </si>
  <si>
    <t>149883</t>
  </si>
  <si>
    <t>BATAILLE</t>
  </si>
  <si>
    <t>Alexandre</t>
  </si>
  <si>
    <t xml:space="preserve">57 Avenue Capitaine Georges Guynemer Appt 34 </t>
  </si>
  <si>
    <t>bataille.alexandre14@wanadoo.fr</t>
  </si>
  <si>
    <t>0231436247</t>
  </si>
  <si>
    <t>0683035849</t>
  </si>
  <si>
    <t>09140052</t>
  </si>
  <si>
    <t>TROARN TT</t>
  </si>
  <si>
    <t>BEDI</t>
  </si>
  <si>
    <t>1417076</t>
  </si>
  <si>
    <t>BECART</t>
  </si>
  <si>
    <t xml:space="preserve">38 Place de la Gare  </t>
  </si>
  <si>
    <t>didierping@yahoo.fr</t>
  </si>
  <si>
    <t>0749778376</t>
  </si>
  <si>
    <t>09140019</t>
  </si>
  <si>
    <t>CAEN ASPTT</t>
  </si>
  <si>
    <t>BEMO</t>
  </si>
  <si>
    <t>7849512</t>
  </si>
  <si>
    <t>BELHOSTE</t>
  </si>
  <si>
    <t>Morgane</t>
  </si>
  <si>
    <t>78 Rue Du Général De Gaulle  Tourlaville</t>
  </si>
  <si>
    <t>Cherbourg-en-Cotentin</t>
  </si>
  <si>
    <t>morganebelh@hotmail.fr</t>
  </si>
  <si>
    <t>0670999538</t>
  </si>
  <si>
    <t>09500009</t>
  </si>
  <si>
    <t>CHERBOURG US</t>
  </si>
  <si>
    <t>6112195</t>
  </si>
  <si>
    <t>BELLAND</t>
  </si>
  <si>
    <t xml:space="preserve">98 rue Cayeux  </t>
  </si>
  <si>
    <t>ST CLAIR DE HALOUZE</t>
  </si>
  <si>
    <t>ludovic.belland@orange.fr</t>
  </si>
  <si>
    <t>0233665260</t>
  </si>
  <si>
    <t>0622374316</t>
  </si>
  <si>
    <t>09610002</t>
  </si>
  <si>
    <t>ARGENTAN BAYARD</t>
  </si>
  <si>
    <t>BETH</t>
  </si>
  <si>
    <t>6111949</t>
  </si>
  <si>
    <t>Theo</t>
  </si>
  <si>
    <t>theo.belland@yahoo.fr</t>
  </si>
  <si>
    <t>0606583819</t>
  </si>
  <si>
    <t>09500117</t>
  </si>
  <si>
    <t>SAINT PAIR BRICQUEVILLE TT</t>
  </si>
  <si>
    <t>7638499</t>
  </si>
  <si>
    <t>BELLENGER</t>
  </si>
  <si>
    <t>Lucas</t>
  </si>
  <si>
    <t xml:space="preserve">44 Rue Leon Delille  </t>
  </si>
  <si>
    <t>ST ETIENNE DU ROUVRAY</t>
  </si>
  <si>
    <t>lucasbellenger1@gmail.com</t>
  </si>
  <si>
    <t>0277580504</t>
  </si>
  <si>
    <t>0631757689</t>
  </si>
  <si>
    <t>09760004</t>
  </si>
  <si>
    <t>SPO ROUEN Tennis de Table</t>
  </si>
  <si>
    <t>BECH</t>
  </si>
  <si>
    <t>5013268</t>
  </si>
  <si>
    <t>BENARD</t>
  </si>
  <si>
    <t>Christophe</t>
  </si>
  <si>
    <t xml:space="preserve">1 Le Vieux Chemin  </t>
  </si>
  <si>
    <t>FLAMANVILLE</t>
  </si>
  <si>
    <t>benard.tof@gmail.com</t>
  </si>
  <si>
    <t>0233047960</t>
  </si>
  <si>
    <t>0681594424</t>
  </si>
  <si>
    <t>BEFR</t>
  </si>
  <si>
    <t>276120</t>
  </si>
  <si>
    <t>BESSAT</t>
  </si>
  <si>
    <t>Francis</t>
  </si>
  <si>
    <t xml:space="preserve">06 ALLEE DES SOURCES  </t>
  </si>
  <si>
    <t>AUBEVOYE</t>
  </si>
  <si>
    <t>bessat.francis@gmail.com</t>
  </si>
  <si>
    <t>0232527251</t>
  </si>
  <si>
    <t>06 04 04 77 13</t>
  </si>
  <si>
    <t>09270176</t>
  </si>
  <si>
    <t>ST PIERRE LA GARENNE</t>
  </si>
  <si>
    <t>BEIS</t>
  </si>
  <si>
    <t>4443440</t>
  </si>
  <si>
    <t>BEUDARD</t>
  </si>
  <si>
    <t>Isabelle</t>
  </si>
  <si>
    <t xml:space="preserve">11 chemin du clos St Julien  </t>
  </si>
  <si>
    <t>LES COUETS</t>
  </si>
  <si>
    <t>isa1269@club-internet.fr</t>
  </si>
  <si>
    <t>0687381063</t>
  </si>
  <si>
    <t>274461</t>
  </si>
  <si>
    <t>BEURMS</t>
  </si>
  <si>
    <t>Jean Francois</t>
  </si>
  <si>
    <t xml:space="preserve">27 chemin du bord de l'eau  </t>
  </si>
  <si>
    <t>LES ANDELYS</t>
  </si>
  <si>
    <t>csandelys27@orange.fr</t>
  </si>
  <si>
    <t>0682696156</t>
  </si>
  <si>
    <t>09270015</t>
  </si>
  <si>
    <t>CS ANDELYS</t>
  </si>
  <si>
    <t>5019936</t>
  </si>
  <si>
    <t>BINARD</t>
  </si>
  <si>
    <t>Mathis</t>
  </si>
  <si>
    <t xml:space="preserve">01 HOTEL RIHOUET  </t>
  </si>
  <si>
    <t>CARANTILLY</t>
  </si>
  <si>
    <t>mathis.binard@gmail.com</t>
  </si>
  <si>
    <t>02 33 56 22 19</t>
  </si>
  <si>
    <t>06 70 26 39 79</t>
  </si>
  <si>
    <t>09500027</t>
  </si>
  <si>
    <t>CARANTILLAISE JS</t>
  </si>
  <si>
    <t>BIDI</t>
  </si>
  <si>
    <t>618195</t>
  </si>
  <si>
    <t>BISCHOFF</t>
  </si>
  <si>
    <t>Dimitri</t>
  </si>
  <si>
    <t xml:space="preserve">14 rue Leroux Barrois  </t>
  </si>
  <si>
    <t>CRULAI</t>
  </si>
  <si>
    <t>aubecrulailaigle@gmail.com</t>
  </si>
  <si>
    <t>0625303378</t>
  </si>
  <si>
    <t>09610135</t>
  </si>
  <si>
    <t>AUBE/CRULAI/L'AIGLE TT</t>
  </si>
  <si>
    <t>BLPI</t>
  </si>
  <si>
    <t>7624761</t>
  </si>
  <si>
    <t>BLASCO</t>
  </si>
  <si>
    <t>Pierre</t>
  </si>
  <si>
    <t xml:space="preserve">146 rue saint andré  </t>
  </si>
  <si>
    <t>BOUVILLE</t>
  </si>
  <si>
    <t>hepi76@hotmail.fr</t>
  </si>
  <si>
    <t>0669565516</t>
  </si>
  <si>
    <t>BOTH</t>
  </si>
  <si>
    <t>275822</t>
  </si>
  <si>
    <t>BONVALET</t>
  </si>
  <si>
    <t xml:space="preserve">7 RUE DES VARINELLES  </t>
  </si>
  <si>
    <t>ST JUST</t>
  </si>
  <si>
    <t>saintmarceltt27@orange.fr</t>
  </si>
  <si>
    <t>0232772262</t>
  </si>
  <si>
    <t>0681477111</t>
  </si>
  <si>
    <t>09270021</t>
  </si>
  <si>
    <t>SAINT MARCEL TT  SMTT</t>
  </si>
  <si>
    <t>BOHU</t>
  </si>
  <si>
    <t>6022215</t>
  </si>
  <si>
    <t>BOSSUT</t>
  </si>
  <si>
    <t>Hugo</t>
  </si>
  <si>
    <t xml:space="preserve">4 Rue De La Chevalerie  </t>
  </si>
  <si>
    <t>Pontoise</t>
  </si>
  <si>
    <t>hugobossut60@gmail.com</t>
  </si>
  <si>
    <t>0651660771</t>
  </si>
  <si>
    <t>09270069</t>
  </si>
  <si>
    <t>ENTENTE GISORSIENNE T.T</t>
  </si>
  <si>
    <t>BONA</t>
  </si>
  <si>
    <t>5022451</t>
  </si>
  <si>
    <t>BOUCHE</t>
  </si>
  <si>
    <t>Nathalie</t>
  </si>
  <si>
    <t xml:space="preserve">64 Rue Jean Lebas  </t>
  </si>
  <si>
    <t>hedwige1963@wanadoo.fr</t>
  </si>
  <si>
    <t>0233532528</t>
  </si>
  <si>
    <t>0661118504</t>
  </si>
  <si>
    <t>09500012</t>
  </si>
  <si>
    <t>EQUEURDREVILLE UST</t>
  </si>
  <si>
    <t>BOLI</t>
  </si>
  <si>
    <t>2719485</t>
  </si>
  <si>
    <t>BOUILLIE</t>
  </si>
  <si>
    <t>Lionel</t>
  </si>
  <si>
    <t xml:space="preserve">5 rue du pre de grenelle  </t>
  </si>
  <si>
    <t>GARENNES SUR EURE</t>
  </si>
  <si>
    <t>lionelmep@orange.fr</t>
  </si>
  <si>
    <t>06 89 79 89 95</t>
  </si>
  <si>
    <t>0689798995</t>
  </si>
  <si>
    <t>09270060</t>
  </si>
  <si>
    <t>CROTH - EZY-GARENNES TT</t>
  </si>
  <si>
    <t>BOPA</t>
  </si>
  <si>
    <t>5015060</t>
  </si>
  <si>
    <t>BOUIN</t>
  </si>
  <si>
    <t>Pascal</t>
  </si>
  <si>
    <t xml:space="preserve">06 Rue de la Duquerie  </t>
  </si>
  <si>
    <t>MONTREUIL SUR LOZON</t>
  </si>
  <si>
    <t>bouinpc2@orange.fr</t>
  </si>
  <si>
    <t>0233054693</t>
  </si>
  <si>
    <t>0689485832</t>
  </si>
  <si>
    <t>BOCH</t>
  </si>
  <si>
    <t>617495</t>
  </si>
  <si>
    <t>BOY</t>
  </si>
  <si>
    <t xml:space="preserve">53 RUE DU VAL NOBLE  </t>
  </si>
  <si>
    <t>ALENCON</t>
  </si>
  <si>
    <t>christophe-boy@sfr.fr</t>
  </si>
  <si>
    <t>0214171307</t>
  </si>
  <si>
    <t>0614599486</t>
  </si>
  <si>
    <t>09610087</t>
  </si>
  <si>
    <t>ST GERMAIN DU CORBEIS ATT</t>
  </si>
  <si>
    <t>BRHE</t>
  </si>
  <si>
    <t>7622583</t>
  </si>
  <si>
    <t>BRACHINI</t>
  </si>
  <si>
    <t>Herve</t>
  </si>
  <si>
    <t xml:space="preserve">10 allee des thuyas  </t>
  </si>
  <si>
    <t>YVETOT</t>
  </si>
  <si>
    <t>hervebrachini@gmail.com</t>
  </si>
  <si>
    <t>0277039263</t>
  </si>
  <si>
    <t>0626520851</t>
  </si>
  <si>
    <t>09760014</t>
  </si>
  <si>
    <t>CP YVETOT</t>
  </si>
  <si>
    <t>BRGE</t>
  </si>
  <si>
    <t>1421868</t>
  </si>
  <si>
    <t>BRAUD</t>
  </si>
  <si>
    <t>Geraldine</t>
  </si>
  <si>
    <t xml:space="preserve">1 residence Le Mesnil  </t>
  </si>
  <si>
    <t>VERSON</t>
  </si>
  <si>
    <t>geraldine.braud@orange.fr</t>
  </si>
  <si>
    <t>0615372740</t>
  </si>
  <si>
    <t>09140224</t>
  </si>
  <si>
    <t>ASLO TT  TOURVILLE VERSON</t>
  </si>
  <si>
    <t>BRMI</t>
  </si>
  <si>
    <t>613095</t>
  </si>
  <si>
    <t>BREARD</t>
  </si>
  <si>
    <t>Michel</t>
  </si>
  <si>
    <t xml:space="preserve">La Sellerie  </t>
  </si>
  <si>
    <t>LES TOURAILLES</t>
  </si>
  <si>
    <t>michelbreard@free.fr</t>
  </si>
  <si>
    <t>0233663266</t>
  </si>
  <si>
    <t>0669548561</t>
  </si>
  <si>
    <t>09610035</t>
  </si>
  <si>
    <t>DURCET Avenir</t>
  </si>
  <si>
    <t>BRYA</t>
  </si>
  <si>
    <t>28174</t>
  </si>
  <si>
    <t>BREDOUX</t>
  </si>
  <si>
    <t>Yannick</t>
  </si>
  <si>
    <t xml:space="preserve">100 Allee des Piverts LE BOIS DU CHARME ORVAUX </t>
  </si>
  <si>
    <t xml:space="preserve">LE VAL DORÉ </t>
  </si>
  <si>
    <t>yannickbredoux@gmail.com</t>
  </si>
  <si>
    <t>0232231428</t>
  </si>
  <si>
    <t>0661199971</t>
  </si>
  <si>
    <t>09270181</t>
  </si>
  <si>
    <t>GUICHAINVILLE TT</t>
  </si>
  <si>
    <t>BRCH</t>
  </si>
  <si>
    <t>6113083</t>
  </si>
  <si>
    <t>BRESSY</t>
  </si>
  <si>
    <t xml:space="preserve">14 Rue Robert Buron Appartement 18 </t>
  </si>
  <si>
    <t>La Ferté-Macé</t>
  </si>
  <si>
    <t>toph.b.061@gmail.com</t>
  </si>
  <si>
    <t>0661476417</t>
  </si>
  <si>
    <t>09610122</t>
  </si>
  <si>
    <t>LA FERTE MACE ALTT</t>
  </si>
  <si>
    <t>BRGA</t>
  </si>
  <si>
    <t>7639287</t>
  </si>
  <si>
    <t>BRETON</t>
  </si>
  <si>
    <t>Galvin</t>
  </si>
  <si>
    <t xml:space="preserve">5 rue suffren   </t>
  </si>
  <si>
    <t>Le Havre</t>
  </si>
  <si>
    <t>galvin.breton@hotmail.fr</t>
  </si>
  <si>
    <t>0766038550</t>
  </si>
  <si>
    <t>BRNI</t>
  </si>
  <si>
    <t>7639559</t>
  </si>
  <si>
    <t>BRETOT</t>
  </si>
  <si>
    <t>Nicolas</t>
  </si>
  <si>
    <t xml:space="preserve">67 rue de la republique  </t>
  </si>
  <si>
    <t>CAUDEBEC LES ELBEUF</t>
  </si>
  <si>
    <t>nbee@sfr.fr</t>
  </si>
  <si>
    <t>0615251708</t>
  </si>
  <si>
    <t>09760168</t>
  </si>
  <si>
    <t>ENTENTE SAINT PIERRAISE TT</t>
  </si>
  <si>
    <t>BRFA</t>
  </si>
  <si>
    <t>1430050</t>
  </si>
  <si>
    <t>BRICE</t>
  </si>
  <si>
    <t>Fanny</t>
  </si>
  <si>
    <t>524 CHEMIN DU MILIEU -  COUDRAY-RABUT</t>
  </si>
  <si>
    <t>PONT L'EVEQUE</t>
  </si>
  <si>
    <t>fbrice@agdeauville.fr</t>
  </si>
  <si>
    <t>0625873009</t>
  </si>
  <si>
    <t>09140009</t>
  </si>
  <si>
    <t>AVANT-GARDE-DEAUVILLAISE</t>
  </si>
  <si>
    <t>BRPE</t>
  </si>
  <si>
    <t>7610794</t>
  </si>
  <si>
    <t>BRUYERE</t>
  </si>
  <si>
    <t>Perrine</t>
  </si>
  <si>
    <t xml:space="preserve">20 Rue Meridienne  </t>
  </si>
  <si>
    <t>ROUEN</t>
  </si>
  <si>
    <t>pbruyere@modulonet.fr</t>
  </si>
  <si>
    <t>0608726701</t>
  </si>
  <si>
    <t>09760018</t>
  </si>
  <si>
    <t>CP QUEVILLAIS</t>
  </si>
  <si>
    <t>BUPH</t>
  </si>
  <si>
    <t>7629501</t>
  </si>
  <si>
    <t>BUQUET</t>
  </si>
  <si>
    <t xml:space="preserve">11 impasse des Macareux Residence les Goelands </t>
  </si>
  <si>
    <t>ST VALERY EN CAUX</t>
  </si>
  <si>
    <t>philippe.buquet@neuf.fr</t>
  </si>
  <si>
    <t>0235973769</t>
  </si>
  <si>
    <t>09760104</t>
  </si>
  <si>
    <t>CP CANYCAIS</t>
  </si>
  <si>
    <t>BUTR</t>
  </si>
  <si>
    <t>6112371</t>
  </si>
  <si>
    <t>BUREAU</t>
  </si>
  <si>
    <t>Tristan</t>
  </si>
  <si>
    <t xml:space="preserve">2 Rue Fernand Dubuis  </t>
  </si>
  <si>
    <t>Mortagne-au-Perche</t>
  </si>
  <si>
    <t>tristanbureau14@gmail.com</t>
  </si>
  <si>
    <t>0629600630</t>
  </si>
  <si>
    <t>09610119</t>
  </si>
  <si>
    <t>MORTAGNAISE USTT</t>
  </si>
  <si>
    <t>CADA</t>
  </si>
  <si>
    <t>1412462</t>
  </si>
  <si>
    <t>CAMPAIN</t>
  </si>
  <si>
    <t>David</t>
  </si>
  <si>
    <t xml:space="preserve">4 Longue Vue du Cinéma  </t>
  </si>
  <si>
    <t>LOUVIGNY</t>
  </si>
  <si>
    <t>david.campain@laposte.net</t>
  </si>
  <si>
    <t>0231374922</t>
  </si>
  <si>
    <t>0641912101</t>
  </si>
  <si>
    <t>CAPI</t>
  </si>
  <si>
    <t>7632957</t>
  </si>
  <si>
    <t>CANTINI</t>
  </si>
  <si>
    <t xml:space="preserve">27 rue Marechal Gallieni  </t>
  </si>
  <si>
    <t>pcantini0700@orange.fr</t>
  </si>
  <si>
    <t>0683231077</t>
  </si>
  <si>
    <t>09760414</t>
  </si>
  <si>
    <t>ASSOC. TENNIS DE TABLE DU HAVRE</t>
  </si>
  <si>
    <t>CAJA</t>
  </si>
  <si>
    <t>50851</t>
  </si>
  <si>
    <t>CANUET</t>
  </si>
  <si>
    <t>Jacques</t>
  </si>
  <si>
    <t xml:space="preserve">La Soulaterie  </t>
  </si>
  <si>
    <t>BEAUCHAMPS</t>
  </si>
  <si>
    <t>jacquescanuet@wanadoo.fr</t>
  </si>
  <si>
    <t>0661706601</t>
  </si>
  <si>
    <t>CALA</t>
  </si>
  <si>
    <t>141463</t>
  </si>
  <si>
    <t>CARDINE</t>
  </si>
  <si>
    <t>Laurent</t>
  </si>
  <si>
    <t xml:space="preserve">1, Rue du Pressoir  </t>
  </si>
  <si>
    <t>AIRAN</t>
  </si>
  <si>
    <t>cardine.laurent0@orange.fr</t>
  </si>
  <si>
    <t>0971722010</t>
  </si>
  <si>
    <t>0670611614</t>
  </si>
  <si>
    <t>CAWI</t>
  </si>
  <si>
    <t>5021435</t>
  </si>
  <si>
    <t>CASTEL</t>
  </si>
  <si>
    <t>Wilfried</t>
  </si>
  <si>
    <t xml:space="preserve">31 chemin des Metairies  </t>
  </si>
  <si>
    <t>ST JAMES</t>
  </si>
  <si>
    <t>castelwilfried50@gmail.com</t>
  </si>
  <si>
    <t>0214131279</t>
  </si>
  <si>
    <t>0660615195</t>
  </si>
  <si>
    <t>09500048</t>
  </si>
  <si>
    <t>SAINT JAMES TT</t>
  </si>
  <si>
    <t>CASO</t>
  </si>
  <si>
    <t>7631</t>
  </si>
  <si>
    <t>CAVE</t>
  </si>
  <si>
    <t>Sophie</t>
  </si>
  <si>
    <t xml:space="preserve">47 rue Tabouelle  </t>
  </si>
  <si>
    <t>ST PIERRE LES ELBEUF</t>
  </si>
  <si>
    <t>cave.sophie27@gmail.com</t>
  </si>
  <si>
    <t>CAPA</t>
  </si>
  <si>
    <t>7614947</t>
  </si>
  <si>
    <t>CAVECIN</t>
  </si>
  <si>
    <t xml:space="preserve">1750 ROUTE DE LA MER  </t>
  </si>
  <si>
    <t>STE MARGUERITE SUR MER</t>
  </si>
  <si>
    <t>cavecin.pascal@hotmail.fr</t>
  </si>
  <si>
    <t>0235838513</t>
  </si>
  <si>
    <t>0622259359</t>
  </si>
  <si>
    <t>09760036</t>
  </si>
  <si>
    <t>DIEPPE UNIVERSITAIRE CLUB</t>
  </si>
  <si>
    <t>CEDO</t>
  </si>
  <si>
    <t>7622056</t>
  </si>
  <si>
    <t>CERNEA</t>
  </si>
  <si>
    <t>Doru Nicolae</t>
  </si>
  <si>
    <t xml:space="preserve">41 rue Daniel Poree  </t>
  </si>
  <si>
    <t>cerneadoru@yahoo.fr</t>
  </si>
  <si>
    <t>0651067391</t>
  </si>
  <si>
    <t>CHHU</t>
  </si>
  <si>
    <t>618964</t>
  </si>
  <si>
    <t>CHAILLOU</t>
  </si>
  <si>
    <t>Hubert</t>
  </si>
  <si>
    <t xml:space="preserve">60 rue de la poterie  </t>
  </si>
  <si>
    <t>ARGENTAN</t>
  </si>
  <si>
    <t>chaillou.hubert@free.fr</t>
  </si>
  <si>
    <t>0233361655</t>
  </si>
  <si>
    <t>0601781338</t>
  </si>
  <si>
    <t>CHXA</t>
  </si>
  <si>
    <t>373585</t>
  </si>
  <si>
    <t>CHATEL</t>
  </si>
  <si>
    <t>Xavier</t>
  </si>
  <si>
    <t xml:space="preserve">80 rue de Repainville  </t>
  </si>
  <si>
    <t>xavierchatel@yahoo.fr</t>
  </si>
  <si>
    <t>0277760730</t>
  </si>
  <si>
    <t>0652067634</t>
  </si>
  <si>
    <t>09760129</t>
  </si>
  <si>
    <t>ASC BONSECOURS</t>
  </si>
  <si>
    <t>CHJE</t>
  </si>
  <si>
    <t>149647</t>
  </si>
  <si>
    <t>CHATRY</t>
  </si>
  <si>
    <t>Jerome</t>
  </si>
  <si>
    <t>429, Chemin des Bruyères de Calleville  Le cour au puits</t>
  </si>
  <si>
    <t>JANVILLE</t>
  </si>
  <si>
    <t>jchatry14@gmail.com</t>
  </si>
  <si>
    <t>0664773795</t>
  </si>
  <si>
    <t>CHRA</t>
  </si>
  <si>
    <t>145336</t>
  </si>
  <si>
    <t>CHAUSSIN</t>
  </si>
  <si>
    <t>Raymond</t>
  </si>
  <si>
    <t xml:space="preserve">3 Rue Maisonneuve  </t>
  </si>
  <si>
    <t>raymond.chaussin@gmail.com</t>
  </si>
  <si>
    <t>0608852611</t>
  </si>
  <si>
    <t>09140007</t>
  </si>
  <si>
    <t>AG Caen</t>
  </si>
  <si>
    <t>9317315</t>
  </si>
  <si>
    <t>CHAUTARD</t>
  </si>
  <si>
    <t>Patrick</t>
  </si>
  <si>
    <t xml:space="preserve">42 Rue du Général Leclerc  </t>
  </si>
  <si>
    <t>YAINVILLE</t>
  </si>
  <si>
    <t>patrick.chautard@free.fr</t>
  </si>
  <si>
    <t>06.75.07.60.71</t>
  </si>
  <si>
    <t>09760442</t>
  </si>
  <si>
    <t>LE TRAIT YAINVILLE PONGISTE</t>
  </si>
  <si>
    <t>CHPA</t>
  </si>
  <si>
    <t>7618473</t>
  </si>
  <si>
    <t>CHAUVRIS</t>
  </si>
  <si>
    <t xml:space="preserve">2 RUE JACQUARD  </t>
  </si>
  <si>
    <t>SOTTEVILLE LES ROUEN</t>
  </si>
  <si>
    <t>annie.pascal.chauvris@gmail.com</t>
  </si>
  <si>
    <t>0235625929</t>
  </si>
  <si>
    <t>0760551162</t>
  </si>
  <si>
    <t>09760011</t>
  </si>
  <si>
    <t>S SOTTEVILLAIS CHEMN C</t>
  </si>
  <si>
    <t xml:space="preserve">CHI </t>
  </si>
  <si>
    <t>7612218</t>
  </si>
  <si>
    <t>CHIU</t>
  </si>
  <si>
    <t>I Jung Garry</t>
  </si>
  <si>
    <t xml:space="preserve">10 avenue du President Allende  </t>
  </si>
  <si>
    <t>CANTELEU</t>
  </si>
  <si>
    <t>ping-garrychiu76@hotmail.fr</t>
  </si>
  <si>
    <t>0626043581</t>
  </si>
  <si>
    <t>09760320</t>
  </si>
  <si>
    <t>ASM AMFREVILLE TT</t>
  </si>
  <si>
    <t>507392</t>
  </si>
  <si>
    <t>CHOUBRAC</t>
  </si>
  <si>
    <t>Marie-Christine</t>
  </si>
  <si>
    <t xml:space="preserve">3 Rue Louise Michel  </t>
  </si>
  <si>
    <t>EQUEURDREVILLE HAINNEVILLE</t>
  </si>
  <si>
    <t>choubracmc@gmail.com</t>
  </si>
  <si>
    <t>0233948583</t>
  </si>
  <si>
    <t>0684973206</t>
  </si>
  <si>
    <t>CHDA</t>
  </si>
  <si>
    <t>14829</t>
  </si>
  <si>
    <t>CHRETIEN</t>
  </si>
  <si>
    <t>Daniel</t>
  </si>
  <si>
    <t>1, Chemin aux Granges  La Hogue</t>
  </si>
  <si>
    <t>BOURGUEBUS</t>
  </si>
  <si>
    <t>daniel.chretien14@free.fr</t>
  </si>
  <si>
    <t>0231231485</t>
  </si>
  <si>
    <t>0641884789</t>
  </si>
  <si>
    <t>09140115</t>
  </si>
  <si>
    <t>VILLERS BOCAGE US</t>
  </si>
  <si>
    <t>CLFR</t>
  </si>
  <si>
    <t>2718211</t>
  </si>
  <si>
    <t>CLAUDEL</t>
  </si>
  <si>
    <t>Francois</t>
  </si>
  <si>
    <t xml:space="preserve">294 RUE DE GUENOUVILLE LE FROC PINEL </t>
  </si>
  <si>
    <t>HONGUEMARE GUENOUVILLE</t>
  </si>
  <si>
    <t>Francois@clanclaudel.ovh</t>
  </si>
  <si>
    <t>0232422009</t>
  </si>
  <si>
    <t>0661644917</t>
  </si>
  <si>
    <t>09270187</t>
  </si>
  <si>
    <t>AS HONGUEMARE-LE LANDIN</t>
  </si>
  <si>
    <t>CLJE</t>
  </si>
  <si>
    <t>6112863</t>
  </si>
  <si>
    <t>CLERET-RIVET</t>
  </si>
  <si>
    <t>Jessica</t>
  </si>
  <si>
    <t xml:space="preserve">1 rue  </t>
  </si>
  <si>
    <t>RUGLES</t>
  </si>
  <si>
    <t>acatt.secretariat@orange.fr</t>
  </si>
  <si>
    <t>765186</t>
  </si>
  <si>
    <t>COLBOC</t>
  </si>
  <si>
    <t>Bruno</t>
  </si>
  <si>
    <t xml:space="preserve">22 RUE DE LA BUSE  </t>
  </si>
  <si>
    <t>MONTIVILLIERS</t>
  </si>
  <si>
    <t>colboc.bruno@orange.fr</t>
  </si>
  <si>
    <t>0235209043</t>
  </si>
  <si>
    <t>09760382</t>
  </si>
  <si>
    <t>RACING CLUB PORT DU HAVRE</t>
  </si>
  <si>
    <t>COJE1</t>
  </si>
  <si>
    <t>1429421</t>
  </si>
  <si>
    <t>COLOMBE COLLIN</t>
  </si>
  <si>
    <t>Jeoffrey</t>
  </si>
  <si>
    <t xml:space="preserve">18 clos st germain  </t>
  </si>
  <si>
    <t>saint germain du crioult</t>
  </si>
  <si>
    <t>Djeoff@orange.fr</t>
  </si>
  <si>
    <t>07.85.22.34.95</t>
  </si>
  <si>
    <t>09140013</t>
  </si>
  <si>
    <t>CONDE/NOIREAU SLSN</t>
  </si>
  <si>
    <t>CODO</t>
  </si>
  <si>
    <t>766385</t>
  </si>
  <si>
    <t>COMMARE</t>
  </si>
  <si>
    <t>Dominique</t>
  </si>
  <si>
    <t xml:space="preserve">888 ROUTE DE  BOLLEVILLE  </t>
  </si>
  <si>
    <t>Lanquetot</t>
  </si>
  <si>
    <t>dominique.commare@gmail.com</t>
  </si>
  <si>
    <t>+33651517298</t>
  </si>
  <si>
    <t>0651517298</t>
  </si>
  <si>
    <t>09760270</t>
  </si>
  <si>
    <t>FJ LA REMUEE TT</t>
  </si>
  <si>
    <t>COJE</t>
  </si>
  <si>
    <t>612060</t>
  </si>
  <si>
    <t>CORVEE</t>
  </si>
  <si>
    <t xml:space="preserve">La Fontaine  </t>
  </si>
  <si>
    <t>ST JOUIN DE BLAVOU</t>
  </si>
  <si>
    <t>jean-paul.corvee@orange.fr</t>
  </si>
  <si>
    <t>0233251882</t>
  </si>
  <si>
    <t>0648391470</t>
  </si>
  <si>
    <t>COFR</t>
  </si>
  <si>
    <t>7513616</t>
  </si>
  <si>
    <t>COTARD</t>
  </si>
  <si>
    <t xml:space="preserve">1068, Grande Rue  </t>
  </si>
  <si>
    <t>BERTHEAUVILLE</t>
  </si>
  <si>
    <t>fcotard.fftt@free.fr</t>
  </si>
  <si>
    <t>0646374797</t>
  </si>
  <si>
    <t>COQU</t>
  </si>
  <si>
    <t>7621057</t>
  </si>
  <si>
    <t>COTE</t>
  </si>
  <si>
    <t>Quentin</t>
  </si>
  <si>
    <t xml:space="preserve">Rue Des Castillans 10 ter Appt 35 </t>
  </si>
  <si>
    <t>Sainte-Adresse</t>
  </si>
  <si>
    <t>quentin.cote@wanadoo.fr</t>
  </si>
  <si>
    <t>0632409396</t>
  </si>
  <si>
    <t>COFR1</t>
  </si>
  <si>
    <t>616437</t>
  </si>
  <si>
    <t>COURIEUT</t>
  </si>
  <si>
    <t>Freddy</t>
  </si>
  <si>
    <t xml:space="preserve">6, hameau de Bitot  </t>
  </si>
  <si>
    <t>SAINT CONTEST</t>
  </si>
  <si>
    <t>freddy.courieut@gmail.com</t>
  </si>
  <si>
    <t>0685919494</t>
  </si>
  <si>
    <t>CRET</t>
  </si>
  <si>
    <t>764173</t>
  </si>
  <si>
    <t>CRETU</t>
  </si>
  <si>
    <t>Etienne</t>
  </si>
  <si>
    <t xml:space="preserve">23 rue du Cave  </t>
  </si>
  <si>
    <t>LE VAUDREUIL</t>
  </si>
  <si>
    <t>etienne.cretu@orange.fr</t>
  </si>
  <si>
    <t>0616565401</t>
  </si>
  <si>
    <t>7629690</t>
  </si>
  <si>
    <t>CUGNART</t>
  </si>
  <si>
    <t>Karl</t>
  </si>
  <si>
    <t xml:space="preserve">22 Rue Thomas Corneille  </t>
  </si>
  <si>
    <t>Barentin</t>
  </si>
  <si>
    <t>president.cpbarentin@gmail.com</t>
  </si>
  <si>
    <t>0783129893</t>
  </si>
  <si>
    <t>09760039</t>
  </si>
  <si>
    <t>CP BARENTIN</t>
  </si>
  <si>
    <t>6931411</t>
  </si>
  <si>
    <t>CUMIN</t>
  </si>
  <si>
    <t>Florent</t>
  </si>
  <si>
    <t xml:space="preserve">9 Rue Édison  </t>
  </si>
  <si>
    <t>Meyzieu</t>
  </si>
  <si>
    <t>cuminflorent@gmail.com</t>
  </si>
  <si>
    <t>0770349343</t>
  </si>
  <si>
    <t>09500093</t>
  </si>
  <si>
    <t>QUERQUEVILLAISE ASTT</t>
  </si>
  <si>
    <t>CULA</t>
  </si>
  <si>
    <t>6113586</t>
  </si>
  <si>
    <t>CUTULLIC</t>
  </si>
  <si>
    <t xml:space="preserve">8 Le Cauche De La Sapaie  </t>
  </si>
  <si>
    <t>Saint-Symphorien-des-Bruyères</t>
  </si>
  <si>
    <t>laurent_cutullic_1@franchise.carrefour.com</t>
  </si>
  <si>
    <t>0673656249</t>
  </si>
  <si>
    <t>DALA</t>
  </si>
  <si>
    <t>50375</t>
  </si>
  <si>
    <t>DAHIREL</t>
  </si>
  <si>
    <t xml:space="preserve">1 Chasse du Moulin  </t>
  </si>
  <si>
    <t>MONTEBOURG</t>
  </si>
  <si>
    <t>ldahirel@outlook.fr</t>
  </si>
  <si>
    <t>0699718735</t>
  </si>
  <si>
    <t>09500015</t>
  </si>
  <si>
    <t>MONTEBOURG SAEL</t>
  </si>
  <si>
    <t>DAMA</t>
  </si>
  <si>
    <t>2719640</t>
  </si>
  <si>
    <t>DALLE</t>
  </si>
  <si>
    <t>Marlene</t>
  </si>
  <si>
    <t>10B Rue du Bosc Roger  Hameau de St Leger</t>
  </si>
  <si>
    <t>LE PLESSIS STE OPPORTUNE</t>
  </si>
  <si>
    <t>mary6987@hotmail.fr</t>
  </si>
  <si>
    <t>0681658653</t>
  </si>
  <si>
    <t>09270151</t>
  </si>
  <si>
    <t>NEUBOURG QUITTEBEUF TT</t>
  </si>
  <si>
    <t>DARE</t>
  </si>
  <si>
    <t>1488</t>
  </si>
  <si>
    <t>DAN</t>
  </si>
  <si>
    <t>Remy</t>
  </si>
  <si>
    <t xml:space="preserve">11 Rue d'Orient  </t>
  </si>
  <si>
    <t>DEMOUVILLE</t>
  </si>
  <si>
    <t>remy.dan2@wanadoo.fr</t>
  </si>
  <si>
    <t>0231721871</t>
  </si>
  <si>
    <t>0781524809</t>
  </si>
  <si>
    <t>DANI</t>
  </si>
  <si>
    <t>5017845</t>
  </si>
  <si>
    <t>DANDOU</t>
  </si>
  <si>
    <t xml:space="preserve">6 Rue St Jean </t>
  </si>
  <si>
    <t>CHERBOURG OCTEVILLE</t>
  </si>
  <si>
    <t>nicolas.dandou@orange.fr</t>
  </si>
  <si>
    <t>09500159</t>
  </si>
  <si>
    <t>SAINT PIERRE EGLISE TT</t>
  </si>
  <si>
    <t>DACY</t>
  </si>
  <si>
    <t>14339</t>
  </si>
  <si>
    <t>DARTHENAY</t>
  </si>
  <si>
    <t>Cyril</t>
  </si>
  <si>
    <t xml:space="preserve">35 Bis Route d'Harcourt  </t>
  </si>
  <si>
    <t>cyril.darthenay@outlook.fr</t>
  </si>
  <si>
    <t>0231522315</t>
  </si>
  <si>
    <t>0670098687</t>
  </si>
  <si>
    <t>09140111</t>
  </si>
  <si>
    <t>LOUVIGNY ASL TT</t>
  </si>
  <si>
    <t>DECL</t>
  </si>
  <si>
    <t>279114</t>
  </si>
  <si>
    <t>DEBOIS</t>
  </si>
  <si>
    <t>Claude</t>
  </si>
  <si>
    <t xml:space="preserve">8 Allee Maurice Genevoix  </t>
  </si>
  <si>
    <t>ST REMY SUR AVRE</t>
  </si>
  <si>
    <t>claude.debois@orange.fr</t>
  </si>
  <si>
    <t>0687415921</t>
  </si>
  <si>
    <t>09270137</t>
  </si>
  <si>
    <t>Vallee d'Avre Tennis de Table</t>
  </si>
  <si>
    <t>DEER</t>
  </si>
  <si>
    <t>5013326</t>
  </si>
  <si>
    <t>DEFOURNEAUX</t>
  </si>
  <si>
    <t>Eric</t>
  </si>
  <si>
    <t xml:space="preserve">1 Lotissement les sablons  </t>
  </si>
  <si>
    <t>SAINTENY</t>
  </si>
  <si>
    <t>eric.defourneaux@wanadoo.fr</t>
  </si>
  <si>
    <t>0233424885</t>
  </si>
  <si>
    <t>0630016794</t>
  </si>
  <si>
    <t>09500058</t>
  </si>
  <si>
    <t>CARENTANAIS CL</t>
  </si>
  <si>
    <t>DEJE</t>
  </si>
  <si>
    <t>7634023</t>
  </si>
  <si>
    <t>DELAHAIS</t>
  </si>
  <si>
    <t>Jessy</t>
  </si>
  <si>
    <t xml:space="preserve">470 Rue De La Briqueterie  </t>
  </si>
  <si>
    <t>Servaville-Salmonville</t>
  </si>
  <si>
    <t>pingfranquevillais@gmail.com</t>
  </si>
  <si>
    <t>0633763840</t>
  </si>
  <si>
    <t>09760351</t>
  </si>
  <si>
    <t>PING FRANQUEVILLAIS</t>
  </si>
  <si>
    <t>76148</t>
  </si>
  <si>
    <t>DELAPORTE</t>
  </si>
  <si>
    <t>Jean Luc</t>
  </si>
  <si>
    <t xml:space="preserve">1 SQUARE COUPERIN  </t>
  </si>
  <si>
    <t>LE MESNIL ESNARD</t>
  </si>
  <si>
    <t>jdelaporte@wanadoo.fr</t>
  </si>
  <si>
    <t>0235808878</t>
  </si>
  <si>
    <t>0606669365</t>
  </si>
  <si>
    <t>09760108</t>
  </si>
  <si>
    <t>MESNIL-ESNARDTT</t>
  </si>
  <si>
    <t>DEDE</t>
  </si>
  <si>
    <t>765670</t>
  </si>
  <si>
    <t>DELARUE</t>
  </si>
  <si>
    <t>Denis</t>
  </si>
  <si>
    <t xml:space="preserve">8 RUE PAUL PAINLEVE  </t>
  </si>
  <si>
    <t>MAROMME</t>
  </si>
  <si>
    <t>denisdelarue210470@gmail.com</t>
  </si>
  <si>
    <t>0232833251</t>
  </si>
  <si>
    <t>0618734124</t>
  </si>
  <si>
    <t>09760425</t>
  </si>
  <si>
    <t>CANTELEU MAROMME TT</t>
  </si>
  <si>
    <t>141029</t>
  </si>
  <si>
    <t>DELASALLE</t>
  </si>
  <si>
    <t xml:space="preserve">57, La Poste  </t>
  </si>
  <si>
    <t>TRACY BOCAGE</t>
  </si>
  <si>
    <t>cathijc14@hotmail.com</t>
  </si>
  <si>
    <t>0231851066</t>
  </si>
  <si>
    <t>0619625847</t>
  </si>
  <si>
    <t>DEST</t>
  </si>
  <si>
    <t>5019943</t>
  </si>
  <si>
    <t>DELEURME</t>
  </si>
  <si>
    <t>Stephane</t>
  </si>
  <si>
    <t xml:space="preserve">12 Rue de la source  </t>
  </si>
  <si>
    <t xml:space="preserve">Romagny-Fontenay </t>
  </si>
  <si>
    <t>stefsusu@sfr.fr</t>
  </si>
  <si>
    <t>0633182145</t>
  </si>
  <si>
    <t>09500131</t>
  </si>
  <si>
    <t>MORTAINAISE ENT TT</t>
  </si>
  <si>
    <t>DELA</t>
  </si>
  <si>
    <t>619161</t>
  </si>
  <si>
    <t>DELEUSE</t>
  </si>
  <si>
    <t>Laeticia</t>
  </si>
  <si>
    <t xml:space="preserve">54 sente aux mineurs  </t>
  </si>
  <si>
    <t>Potigny</t>
  </si>
  <si>
    <t>laeticia.deleuse@orange.fr</t>
  </si>
  <si>
    <t xml:space="preserve">06.45.49.21.31 </t>
  </si>
  <si>
    <t>09140072</t>
  </si>
  <si>
    <t>FALAISE ES</t>
  </si>
  <si>
    <t>7642426</t>
  </si>
  <si>
    <t>DEMONCHY</t>
  </si>
  <si>
    <t xml:space="preserve">6 rue de Bruneval  </t>
  </si>
  <si>
    <t>LE HAVRE</t>
  </si>
  <si>
    <t>p.demonchy@numericable.fr</t>
  </si>
  <si>
    <t>0601945664</t>
  </si>
  <si>
    <t>DEJO</t>
  </si>
  <si>
    <t>50528</t>
  </si>
  <si>
    <t>DERENNE</t>
  </si>
  <si>
    <t>Joël</t>
  </si>
  <si>
    <t xml:space="preserve">18 Route de la Cote du Repas MONTIGNY </t>
  </si>
  <si>
    <t>ISIGNY LE BUAT</t>
  </si>
  <si>
    <t>jderenne@wanadoo.fr</t>
  </si>
  <si>
    <t>0673574865</t>
  </si>
  <si>
    <t>DECE</t>
  </si>
  <si>
    <t>2716779</t>
  </si>
  <si>
    <t>DERUELLE</t>
  </si>
  <si>
    <t>Cecile</t>
  </si>
  <si>
    <t xml:space="preserve">12 rue Edouard Branly  </t>
  </si>
  <si>
    <t>cecile.deruelle@yahoo.fr</t>
  </si>
  <si>
    <t>0232241045</t>
  </si>
  <si>
    <t>0686714020</t>
  </si>
  <si>
    <t>8611273</t>
  </si>
  <si>
    <t>DESCHAMPS</t>
  </si>
  <si>
    <t>Jean-Marc</t>
  </si>
  <si>
    <t xml:space="preserve">33 Avenue René Schmitt  </t>
  </si>
  <si>
    <t>jmarc86@free.fr</t>
  </si>
  <si>
    <t>0952516320</t>
  </si>
  <si>
    <t>0766766442</t>
  </si>
  <si>
    <t>09500030</t>
  </si>
  <si>
    <t>CHERBOURG ASTT</t>
  </si>
  <si>
    <t>DEMA</t>
  </si>
  <si>
    <t>145149</t>
  </si>
  <si>
    <t>DESFRENES DAVID</t>
  </si>
  <si>
    <t>Manuel</t>
  </si>
  <si>
    <t xml:space="preserve">15 rue de brunehaut  </t>
  </si>
  <si>
    <t>AMFREVILLE</t>
  </si>
  <si>
    <t>maxwellqc@hotmail.fr</t>
  </si>
  <si>
    <t>0624435556</t>
  </si>
  <si>
    <t>09140012</t>
  </si>
  <si>
    <t>CABOURG TT</t>
  </si>
  <si>
    <t>614348</t>
  </si>
  <si>
    <t>DESFRESNES</t>
  </si>
  <si>
    <t>Jeremy</t>
  </si>
  <si>
    <t xml:space="preserve">4 B CHEMIN DE PAIR  </t>
  </si>
  <si>
    <t>RAI</t>
  </si>
  <si>
    <t>benji61300@hotmail.fr</t>
  </si>
  <si>
    <t>0232306327</t>
  </si>
  <si>
    <t>0677180733</t>
  </si>
  <si>
    <t>DEAL</t>
  </si>
  <si>
    <t>7625982</t>
  </si>
  <si>
    <t>DESMOTREUX</t>
  </si>
  <si>
    <t>Alain</t>
  </si>
  <si>
    <t xml:space="preserve">64 Allee Gustave Flaubert  </t>
  </si>
  <si>
    <t>ST ROMAIN DE COLBOSC</t>
  </si>
  <si>
    <t>alain.desmotreux@sfr.fr</t>
  </si>
  <si>
    <t>0235200332</t>
  </si>
  <si>
    <t>0619921948</t>
  </si>
  <si>
    <t>7634309</t>
  </si>
  <si>
    <t>DESPY</t>
  </si>
  <si>
    <t>Jean</t>
  </si>
  <si>
    <t xml:space="preserve">7 Rue de l'Avalasse  </t>
  </si>
  <si>
    <t>DARNETAL</t>
  </si>
  <si>
    <t>despy26@gmail.com</t>
  </si>
  <si>
    <t>0620906227</t>
  </si>
  <si>
    <t>DEME</t>
  </si>
  <si>
    <t>7627763</t>
  </si>
  <si>
    <t>DESVAUX</t>
  </si>
  <si>
    <t>Melanie</t>
  </si>
  <si>
    <t xml:space="preserve">rue Masselin 149 B </t>
  </si>
  <si>
    <t>LA LONDE</t>
  </si>
  <si>
    <t>melanie-76@wanadoo.fr</t>
  </si>
  <si>
    <t>0761616852</t>
  </si>
  <si>
    <t>DEPH</t>
  </si>
  <si>
    <t>611273</t>
  </si>
  <si>
    <t>DEVAUX</t>
  </si>
  <si>
    <t xml:space="preserve">14 Impasse du Jardin  </t>
  </si>
  <si>
    <t>DAMIGNY</t>
  </si>
  <si>
    <t>philippe-devaux2@orange.fr</t>
  </si>
  <si>
    <t>0233271414</t>
  </si>
  <si>
    <t>0687600286</t>
  </si>
  <si>
    <t>09610009</t>
  </si>
  <si>
    <t>ALENCON ETOILE</t>
  </si>
  <si>
    <t>DHFL</t>
  </si>
  <si>
    <t>7622705</t>
  </si>
  <si>
    <t>DHEILLY</t>
  </si>
  <si>
    <t>Florian</t>
  </si>
  <si>
    <t xml:space="preserve">6 Allee des Noisetiers  </t>
  </si>
  <si>
    <t>LE GRAND QUEVILLY</t>
  </si>
  <si>
    <t>flo.dheilly@gmail.com</t>
  </si>
  <si>
    <t>0667562311</t>
  </si>
  <si>
    <t>DRBE</t>
  </si>
  <si>
    <t>534167</t>
  </si>
  <si>
    <t>DRUDI</t>
  </si>
  <si>
    <t>Bernard</t>
  </si>
  <si>
    <t>128 AV ARISTIDE BRIAND  QUARTIER DE NAVARRE</t>
  </si>
  <si>
    <t>EVREUX</t>
  </si>
  <si>
    <t>bernard.drudi@orange.fr</t>
  </si>
  <si>
    <t>0232390843</t>
  </si>
  <si>
    <t>0637894458</t>
  </si>
  <si>
    <t>7630329</t>
  </si>
  <si>
    <t>DUBOIS</t>
  </si>
  <si>
    <t>Jeremie</t>
  </si>
  <si>
    <t xml:space="preserve">71 D rue Leon Maletra  </t>
  </si>
  <si>
    <t>LE PETIT QUEVILLY</t>
  </si>
  <si>
    <t>jeremiedubois77@hotmail.fr</t>
  </si>
  <si>
    <t>0616549236</t>
  </si>
  <si>
    <t>09760034</t>
  </si>
  <si>
    <t>Entente Tennis de Table d'OISSEL</t>
  </si>
  <si>
    <t>1417938</t>
  </si>
  <si>
    <t>DUCANDAS</t>
  </si>
  <si>
    <t>Jean-Francois</t>
  </si>
  <si>
    <t xml:space="preserve">3 allee des pinsons  </t>
  </si>
  <si>
    <t>ST MARTIN DE FONTENAY</t>
  </si>
  <si>
    <t>jfc.ducandas@wanadoo.fr</t>
  </si>
  <si>
    <t>0231000000</t>
  </si>
  <si>
    <t>0651416573</t>
  </si>
  <si>
    <t>09140123</t>
  </si>
  <si>
    <t>FLEURY SUR ORNE CSP</t>
  </si>
  <si>
    <t>DURE</t>
  </si>
  <si>
    <t>6112601</t>
  </si>
  <si>
    <t>DUFOUR</t>
  </si>
  <si>
    <t>Regis</t>
  </si>
  <si>
    <t>335  rue de la bissonniere</t>
  </si>
  <si>
    <t>duftt@orange.fr</t>
  </si>
  <si>
    <t>0635341610</t>
  </si>
  <si>
    <t>09610093</t>
  </si>
  <si>
    <t>ST PIERRE DU REGARD AS</t>
  </si>
  <si>
    <t>DUJO</t>
  </si>
  <si>
    <t>2717129</t>
  </si>
  <si>
    <t>DUGUE</t>
  </si>
  <si>
    <t>Joel</t>
  </si>
  <si>
    <t xml:space="preserve">4 La Boismorellerie  </t>
  </si>
  <si>
    <t>ST DENIS LE GAST</t>
  </si>
  <si>
    <t>joel-dugue@hotmail.fr</t>
  </si>
  <si>
    <t>DUCH</t>
  </si>
  <si>
    <t>1416971</t>
  </si>
  <si>
    <t>DUPONT</t>
  </si>
  <si>
    <t>Christian</t>
  </si>
  <si>
    <t xml:space="preserve">13 square des champs  </t>
  </si>
  <si>
    <t>GRENTHEVILLE</t>
  </si>
  <si>
    <t>christiandupont@free.fr</t>
  </si>
  <si>
    <t>0662115652</t>
  </si>
  <si>
    <t>09140063</t>
  </si>
  <si>
    <t>FRENOUVILLAIS TT</t>
  </si>
  <si>
    <t>DUMA</t>
  </si>
  <si>
    <t>09443</t>
  </si>
  <si>
    <t>DUPUY</t>
  </si>
  <si>
    <t>Marc</t>
  </si>
  <si>
    <t xml:space="preserve">1480 Boulevard Nelson Mandela Apt 8 </t>
  </si>
  <si>
    <t>FECAMP</t>
  </si>
  <si>
    <t>marc.dupuy0677@yahoo.fr</t>
  </si>
  <si>
    <t>0660972193</t>
  </si>
  <si>
    <t>09760266</t>
  </si>
  <si>
    <t>U S FECAMPOISE</t>
  </si>
  <si>
    <t>7610132</t>
  </si>
  <si>
    <t>DURAND</t>
  </si>
  <si>
    <t xml:space="preserve">20 rue du littoral  </t>
  </si>
  <si>
    <t>BELLEVILLE SUR MER</t>
  </si>
  <si>
    <t>durand.jeanluc1@free.fr</t>
  </si>
  <si>
    <t>0235861853</t>
  </si>
  <si>
    <t>0674953204</t>
  </si>
  <si>
    <t>09760167</t>
  </si>
  <si>
    <t>ASL BERNEVAL</t>
  </si>
  <si>
    <t>DUXA</t>
  </si>
  <si>
    <t>7623643</t>
  </si>
  <si>
    <t>DUVAL</t>
  </si>
  <si>
    <t xml:space="preserve">25 Rue Albert Marie Anthiaume RDC N34 </t>
  </si>
  <si>
    <t>duval2.xavier@gmail.com</t>
  </si>
  <si>
    <t>0651109664</t>
  </si>
  <si>
    <t>EDJE</t>
  </si>
  <si>
    <t>1416361</t>
  </si>
  <si>
    <t>EDDE</t>
  </si>
  <si>
    <t>Jean-Pierre</t>
  </si>
  <si>
    <t xml:space="preserve">7A Rue Robert Ogier  </t>
  </si>
  <si>
    <t>COLOMBELLES</t>
  </si>
  <si>
    <t>jpedde14@aol.com</t>
  </si>
  <si>
    <t>0625634961</t>
  </si>
  <si>
    <t>09140235</t>
  </si>
  <si>
    <t>MONDEVILLE TT</t>
  </si>
  <si>
    <t>ELLA</t>
  </si>
  <si>
    <t>939916</t>
  </si>
  <si>
    <t>ELIE</t>
  </si>
  <si>
    <t xml:space="preserve">rue mendes France imm Isere </t>
  </si>
  <si>
    <t>Un_petit_msg_pour_lolo@hotmail.com</t>
  </si>
  <si>
    <t>0232705762</t>
  </si>
  <si>
    <t>0609205648</t>
  </si>
  <si>
    <t>ESMA</t>
  </si>
  <si>
    <t>615507</t>
  </si>
  <si>
    <t>ESCOT</t>
  </si>
  <si>
    <t xml:space="preserve">9 Rue Christian Bisson  </t>
  </si>
  <si>
    <t>LOUGE SUR MAIRE</t>
  </si>
  <si>
    <t>marc.escot@orange.fr</t>
  </si>
  <si>
    <t>0233960108</t>
  </si>
  <si>
    <t>0616717871</t>
  </si>
  <si>
    <t>09610095</t>
  </si>
  <si>
    <t>LOUGE ST BRICE ES</t>
  </si>
  <si>
    <t>FESY</t>
  </si>
  <si>
    <t>2712507</t>
  </si>
  <si>
    <t>FERRON</t>
  </si>
  <si>
    <t>Sylvere</t>
  </si>
  <si>
    <t xml:space="preserve">9, RUE DU VERT BUISSON  </t>
  </si>
  <si>
    <t>FRENELLES en Véxin</t>
  </si>
  <si>
    <t>ferron.sylvere@orange.fr</t>
  </si>
  <si>
    <t>0647919113</t>
  </si>
  <si>
    <t>09270152</t>
  </si>
  <si>
    <t>GAILLON AUBEVOYE TT</t>
  </si>
  <si>
    <t>FOBE</t>
  </si>
  <si>
    <t>5013404</t>
  </si>
  <si>
    <t>FOLLIOT</t>
  </si>
  <si>
    <t>Benjamin</t>
  </si>
  <si>
    <t xml:space="preserve">24 Avenue De La Concorde  </t>
  </si>
  <si>
    <t>Bretteville-sur-Odon</t>
  </si>
  <si>
    <t>folliot.benjamin@hotmail.fr</t>
  </si>
  <si>
    <t>0686699882</t>
  </si>
  <si>
    <t>FOAN</t>
  </si>
  <si>
    <t>273342</t>
  </si>
  <si>
    <t>FONDACCI</t>
  </si>
  <si>
    <t>Anne</t>
  </si>
  <si>
    <t>6 IMPASSE DE LA SENTE JUREE  Cidex 12</t>
  </si>
  <si>
    <t>GROSSOEUVRE</t>
  </si>
  <si>
    <t>fondacci.anne@wanadoo.fr</t>
  </si>
  <si>
    <t>0232379569</t>
  </si>
  <si>
    <t>0676034037</t>
  </si>
  <si>
    <t>09270126</t>
  </si>
  <si>
    <t>GROSSOEUVRE SPORTS</t>
  </si>
  <si>
    <t>FOJE</t>
  </si>
  <si>
    <t>61115</t>
  </si>
  <si>
    <t>FORGET</t>
  </si>
  <si>
    <t xml:space="preserve">13 Rue de Paris  </t>
  </si>
  <si>
    <t>jeforget@orange.fr</t>
  </si>
  <si>
    <t>0233640368</t>
  </si>
  <si>
    <t>0630821890</t>
  </si>
  <si>
    <t>FOBE1</t>
  </si>
  <si>
    <t>271954</t>
  </si>
  <si>
    <t>FOURCIN</t>
  </si>
  <si>
    <t>Bertrand</t>
  </si>
  <si>
    <t xml:space="preserve">9, RESIDENCE LE BEAU JEAN  </t>
  </si>
  <si>
    <t>COURCELLES SUR SEINE</t>
  </si>
  <si>
    <t>bertrand.fourcin@sfr.fr</t>
  </si>
  <si>
    <t>0232535782</t>
  </si>
  <si>
    <t>0768743232</t>
  </si>
  <si>
    <t>GASE</t>
  </si>
  <si>
    <t>1417937</t>
  </si>
  <si>
    <t>GAUDEMER</t>
  </si>
  <si>
    <t>Sebastien</t>
  </si>
  <si>
    <t xml:space="preserve">Le lieu Droulin  </t>
  </si>
  <si>
    <t>ST LAURENT DU MONT</t>
  </si>
  <si>
    <t>sebgaudemer@hotmail.com</t>
  </si>
  <si>
    <t>0614199228</t>
  </si>
  <si>
    <t>09140078</t>
  </si>
  <si>
    <t>ST ANDRE/ORNE USSA</t>
  </si>
  <si>
    <t>GIJE</t>
  </si>
  <si>
    <t>762041</t>
  </si>
  <si>
    <t>GIRARD</t>
  </si>
  <si>
    <t>Jean-Luc</t>
  </si>
  <si>
    <t xml:space="preserve">554, Impasse de la Fontaine  </t>
  </si>
  <si>
    <t>MARTAINVILLE EPREVILLE</t>
  </si>
  <si>
    <t>jl.girard76@wanadoo.fr</t>
  </si>
  <si>
    <t>0235346834</t>
  </si>
  <si>
    <t>0645816479</t>
  </si>
  <si>
    <t>GOAR</t>
  </si>
  <si>
    <t>7620525</t>
  </si>
  <si>
    <t>GODART</t>
  </si>
  <si>
    <t>Arnold</t>
  </si>
  <si>
    <t xml:space="preserve">1295 rue vaillancourt  </t>
  </si>
  <si>
    <t>ST NICOLAS D ALIERMONT</t>
  </si>
  <si>
    <t>arnold.godart@gmail.com</t>
  </si>
  <si>
    <t>0672745748</t>
  </si>
  <si>
    <t>09760007</t>
  </si>
  <si>
    <t>CEP ST NICOLAS ALIERMONT</t>
  </si>
  <si>
    <t>GOAN</t>
  </si>
  <si>
    <t>7619195</t>
  </si>
  <si>
    <t>GODEY</t>
  </si>
  <si>
    <t>Antoine</t>
  </si>
  <si>
    <t xml:space="preserve">245 rue de la Chesnaie  </t>
  </si>
  <si>
    <t>AUBERVILLE LA CAMPAGNE</t>
  </si>
  <si>
    <t>antoine.godey@orange.fr</t>
  </si>
  <si>
    <t>0235386886</t>
  </si>
  <si>
    <t>0610110156</t>
  </si>
  <si>
    <t>09760403</t>
  </si>
  <si>
    <t>CP GRANDCAMP</t>
  </si>
  <si>
    <t>GOOL</t>
  </si>
  <si>
    <t>7635011</t>
  </si>
  <si>
    <t>GOSSELIN</t>
  </si>
  <si>
    <t>Olivier</t>
  </si>
  <si>
    <t xml:space="preserve">444 RUE CHASSE MAREE  </t>
  </si>
  <si>
    <t>CRESSY</t>
  </si>
  <si>
    <t>olivi.gosselin@gmail.com</t>
  </si>
  <si>
    <t>0954296188</t>
  </si>
  <si>
    <t>0614148604</t>
  </si>
  <si>
    <t>09760025</t>
  </si>
  <si>
    <t>Cercle Sportif Altifagien</t>
  </si>
  <si>
    <t>GOGA</t>
  </si>
  <si>
    <t>7622873</t>
  </si>
  <si>
    <t>GOUBERT</t>
  </si>
  <si>
    <t>Gaetan</t>
  </si>
  <si>
    <t xml:space="preserve">5 Square Lavoisier  </t>
  </si>
  <si>
    <t>FONTENAY LE FLEURY</t>
  </si>
  <si>
    <t>gaetan.goubert@yahoo.fr</t>
  </si>
  <si>
    <t>0626259277</t>
  </si>
  <si>
    <t>149212</t>
  </si>
  <si>
    <t>GOUNY</t>
  </si>
  <si>
    <t xml:space="preserve">15 rue Marie  </t>
  </si>
  <si>
    <t>ST PIERRE CANIVET</t>
  </si>
  <si>
    <t>laurent.gouny@wanadoo.fr</t>
  </si>
  <si>
    <t>0231408975</t>
  </si>
  <si>
    <t>0603115932</t>
  </si>
  <si>
    <t>09610031</t>
  </si>
  <si>
    <t>ATHIS CTT</t>
  </si>
  <si>
    <t>GOGU</t>
  </si>
  <si>
    <t>7619288</t>
  </si>
  <si>
    <t>GOUPIL</t>
  </si>
  <si>
    <t>Guillaume</t>
  </si>
  <si>
    <t xml:space="preserve">15 Residence Les Roches  </t>
  </si>
  <si>
    <t>ST AUBIN LES ELBEUF</t>
  </si>
  <si>
    <t>aquagoupil@yahoo.fr</t>
  </si>
  <si>
    <t>0619844693</t>
  </si>
  <si>
    <t>GOMA</t>
  </si>
  <si>
    <t>7634198</t>
  </si>
  <si>
    <t>GOURDAIN</t>
  </si>
  <si>
    <t>Marie-Pierre</t>
  </si>
  <si>
    <t xml:space="preserve">5 Impasse Faucheur  </t>
  </si>
  <si>
    <t>marie-pierre.gourdain@laposte.net</t>
  </si>
  <si>
    <t>0662863629</t>
  </si>
  <si>
    <t>GODO</t>
  </si>
  <si>
    <t>506584</t>
  </si>
  <si>
    <t>GOUTTE</t>
  </si>
  <si>
    <t xml:space="preserve">927 Route Nationale  </t>
  </si>
  <si>
    <t>ST PAIR SUR MER</t>
  </si>
  <si>
    <t>noel.goutte@wanadoo.fr</t>
  </si>
  <si>
    <t>0233506655</t>
  </si>
  <si>
    <t>0677376460</t>
  </si>
  <si>
    <t>7610322</t>
  </si>
  <si>
    <t>GROUT</t>
  </si>
  <si>
    <t>François</t>
  </si>
  <si>
    <t xml:space="preserve">52 Rue Albert Malet  </t>
  </si>
  <si>
    <t>grout.francois@bbox.fr</t>
  </si>
  <si>
    <t>0662136659</t>
  </si>
  <si>
    <t>2719313</t>
  </si>
  <si>
    <t>GUEDES</t>
  </si>
  <si>
    <t>2A CHE DE LA MESANGERE  HAMEAU DU FITZ</t>
  </si>
  <si>
    <t>ST PIERRE DU BOSGUERARD</t>
  </si>
  <si>
    <t>sebastien.guedes@gmail.com</t>
  </si>
  <si>
    <t>0621167551</t>
  </si>
  <si>
    <t>09270095</t>
  </si>
  <si>
    <t>AS BOSC ROGER EN ROUMOIS</t>
  </si>
  <si>
    <t>508509</t>
  </si>
  <si>
    <t>GUESPIN</t>
  </si>
  <si>
    <t xml:space="preserve">20 cite des navignes  </t>
  </si>
  <si>
    <t>ROUXEVILLE</t>
  </si>
  <si>
    <t>scary50@hotmail.com</t>
  </si>
  <si>
    <t>0233553820</t>
  </si>
  <si>
    <t>0670677755</t>
  </si>
  <si>
    <t>09500022</t>
  </si>
  <si>
    <t>Olympique Club d'AGNEAUX</t>
  </si>
  <si>
    <t>GUYA</t>
  </si>
  <si>
    <t>9311970</t>
  </si>
  <si>
    <t>GUILLARD</t>
  </si>
  <si>
    <t xml:space="preserve">4, domaine du Vaudon  </t>
  </si>
  <si>
    <t>COUTANCES</t>
  </si>
  <si>
    <t>guillard.bonnet@free.fr</t>
  </si>
  <si>
    <t>0769613924</t>
  </si>
  <si>
    <t>7888620</t>
  </si>
  <si>
    <t>GUILLON</t>
  </si>
  <si>
    <t>Clement</t>
  </si>
  <si>
    <t xml:space="preserve">43 bis , rue de l'artoire  </t>
  </si>
  <si>
    <t>les essarts le roi</t>
  </si>
  <si>
    <t>clementguillon9@gmail.com</t>
  </si>
  <si>
    <t>06 22 24 04 39</t>
  </si>
  <si>
    <t>143124</t>
  </si>
  <si>
    <t>GUILLOTIN</t>
  </si>
  <si>
    <t>Serge</t>
  </si>
  <si>
    <t xml:space="preserve">1 CHEMIN DES PRIMEVERES  </t>
  </si>
  <si>
    <t>SOMMERVIEU</t>
  </si>
  <si>
    <t>serge.guillotin@wanadoo.fr</t>
  </si>
  <si>
    <t>0231928106</t>
  </si>
  <si>
    <t>0628496798</t>
  </si>
  <si>
    <t>09140014</t>
  </si>
  <si>
    <t>BAYEUX TT</t>
  </si>
  <si>
    <t>GUKE</t>
  </si>
  <si>
    <t>148229</t>
  </si>
  <si>
    <t>GUINGAND</t>
  </si>
  <si>
    <t>Kevin</t>
  </si>
  <si>
    <t xml:space="preserve">3 rue dela commune  </t>
  </si>
  <si>
    <t>TORIGNI SUR VIRE</t>
  </si>
  <si>
    <t>kevinguingand.estorignaise@gmail.com</t>
  </si>
  <si>
    <t>0666464393</t>
  </si>
  <si>
    <t>09500073</t>
  </si>
  <si>
    <t>TORIGNAISE ESTT</t>
  </si>
  <si>
    <t>2716727</t>
  </si>
  <si>
    <t>HAMEL</t>
  </si>
  <si>
    <t xml:space="preserve">15 route du Neubourg  </t>
  </si>
  <si>
    <t>LA FERRIERE SUR RISLE</t>
  </si>
  <si>
    <t>fh27760@gmail.com</t>
  </si>
  <si>
    <t>0232307908</t>
  </si>
  <si>
    <t>0687786876</t>
  </si>
  <si>
    <t>09270148</t>
  </si>
  <si>
    <t>U.S FIDELAIRE TENNIS DE TABLE</t>
  </si>
  <si>
    <t>HEAN</t>
  </si>
  <si>
    <t>76470</t>
  </si>
  <si>
    <t>HEBERT</t>
  </si>
  <si>
    <t>Andre</t>
  </si>
  <si>
    <t xml:space="preserve">53 ue du Vieux Sainte Marie  </t>
  </si>
  <si>
    <t>andre.hebert0099@orange.fr</t>
  </si>
  <si>
    <t>0235950717</t>
  </si>
  <si>
    <t>0680926845</t>
  </si>
  <si>
    <t>HEDA</t>
  </si>
  <si>
    <t>5017949</t>
  </si>
  <si>
    <t xml:space="preserve">3 bis chemin verite  </t>
  </si>
  <si>
    <t>CANISY</t>
  </si>
  <si>
    <t>kenobix@live.fr</t>
  </si>
  <si>
    <t>07 68 41 15 78</t>
  </si>
  <si>
    <t>8010872</t>
  </si>
  <si>
    <t>HENNECART</t>
  </si>
  <si>
    <t>Emmanuel</t>
  </si>
  <si>
    <t xml:space="preserve">30 Ave Mal De Lattre De Tassigny  </t>
  </si>
  <si>
    <t>hennecart_emmanuel@yahoo.fr</t>
  </si>
  <si>
    <t>0651607614</t>
  </si>
  <si>
    <t>HERI</t>
  </si>
  <si>
    <t>7614072</t>
  </si>
  <si>
    <t>HERELLE</t>
  </si>
  <si>
    <t>Richard</t>
  </si>
  <si>
    <t xml:space="preserve">302 Route De Neufchâtel  </t>
  </si>
  <si>
    <t>Bully</t>
  </si>
  <si>
    <t>richard.herelle@gmail.com</t>
  </si>
  <si>
    <t>0673768550</t>
  </si>
  <si>
    <t>09760416</t>
  </si>
  <si>
    <t>TT BULLY</t>
  </si>
  <si>
    <t>HESE</t>
  </si>
  <si>
    <t>7641757</t>
  </si>
  <si>
    <t>HEUZE</t>
  </si>
  <si>
    <t xml:space="preserve">690 rue kennedy  </t>
  </si>
  <si>
    <t>PETIT COURONNE</t>
  </si>
  <si>
    <t>sebastien.heuze.sh@gmail.com</t>
  </si>
  <si>
    <t>0235677718</t>
  </si>
  <si>
    <t>0652265448</t>
  </si>
  <si>
    <t>09760221</t>
  </si>
  <si>
    <t>A AMICALE COURONNAISE</t>
  </si>
  <si>
    <t>HIJU</t>
  </si>
  <si>
    <t>5018819</t>
  </si>
  <si>
    <t>HIMPE</t>
  </si>
  <si>
    <t>Julien</t>
  </si>
  <si>
    <t xml:space="preserve">20 cite fougeres bat D appt 3  </t>
  </si>
  <si>
    <t>mapolin@hotmail.fr</t>
  </si>
  <si>
    <t>0667091621</t>
  </si>
  <si>
    <t>HOMA</t>
  </si>
  <si>
    <t>2722636</t>
  </si>
  <si>
    <t>HOFFMANN</t>
  </si>
  <si>
    <t>Manuela</t>
  </si>
  <si>
    <t xml:space="preserve">24 rue Victor Hugo  </t>
  </si>
  <si>
    <t>Garennes sur Eure</t>
  </si>
  <si>
    <t>mhoffmann.cegtt27@orange.fr</t>
  </si>
  <si>
    <t>0687507669</t>
  </si>
  <si>
    <t>2722004</t>
  </si>
  <si>
    <t>HUE</t>
  </si>
  <si>
    <t>Alexis</t>
  </si>
  <si>
    <t xml:space="preserve">7 avenue de l'Europe  </t>
  </si>
  <si>
    <t>Pont Audemer</t>
  </si>
  <si>
    <t>alexis.hue27@gmail.com</t>
  </si>
  <si>
    <t>0764250151</t>
  </si>
  <si>
    <t>09270110</t>
  </si>
  <si>
    <t>ST PHILBERT ATHLETIC CLUB</t>
  </si>
  <si>
    <t>HUEM</t>
  </si>
  <si>
    <t>502277</t>
  </si>
  <si>
    <t>Emile</t>
  </si>
  <si>
    <t xml:space="preserve">1 Allee des Lauriers  </t>
  </si>
  <si>
    <t>AGNEAUX</t>
  </si>
  <si>
    <t>emile.hue@gmail.com</t>
  </si>
  <si>
    <t>0233053193</t>
  </si>
  <si>
    <t>0667174530</t>
  </si>
  <si>
    <t>09500082</t>
  </si>
  <si>
    <t>HEBECREVON ES</t>
  </si>
  <si>
    <t>HUGR</t>
  </si>
  <si>
    <t>1410621</t>
  </si>
  <si>
    <t>HUET</t>
  </si>
  <si>
    <t>Gregory</t>
  </si>
  <si>
    <t xml:space="preserve">5 rue du doult de la salle  </t>
  </si>
  <si>
    <t>Freneuse-sur-Risle</t>
  </si>
  <si>
    <t>huetgreg@outlook.fr</t>
  </si>
  <si>
    <t>0666655231</t>
  </si>
  <si>
    <t>09270004</t>
  </si>
  <si>
    <t>TT BRIONNE</t>
  </si>
  <si>
    <t>HUCA</t>
  </si>
  <si>
    <t>1425335</t>
  </si>
  <si>
    <t>HUMBERT</t>
  </si>
  <si>
    <t>Camille</t>
  </si>
  <si>
    <t xml:space="preserve">19 avenue de la Plage  </t>
  </si>
  <si>
    <t>OUISTREHAM</t>
  </si>
  <si>
    <t>camille.humbert9@orange.fr</t>
  </si>
  <si>
    <t>0679061403</t>
  </si>
  <si>
    <t>09140055</t>
  </si>
  <si>
    <t>Amicale Pongiste de Ouistreham</t>
  </si>
  <si>
    <t>JAAL</t>
  </si>
  <si>
    <t>2722822</t>
  </si>
  <si>
    <t>JACQUES</t>
  </si>
  <si>
    <t>Aline</t>
  </si>
  <si>
    <t xml:space="preserve">15 Rue De L'église  </t>
  </si>
  <si>
    <t>Saint-Meslin-du-Bosc</t>
  </si>
  <si>
    <t>aline.swertvaeger@gmail.com</t>
  </si>
  <si>
    <t>0612623379</t>
  </si>
  <si>
    <t>JAPA</t>
  </si>
  <si>
    <t>274732</t>
  </si>
  <si>
    <t>JAOUEN</t>
  </si>
  <si>
    <t xml:space="preserve">7 CHEMIN DE SATURNE  </t>
  </si>
  <si>
    <t>patrick.jaouen3@orange.fr</t>
  </si>
  <si>
    <t>0698869804</t>
  </si>
  <si>
    <t>JEXA</t>
  </si>
  <si>
    <t>7634079</t>
  </si>
  <si>
    <t>JEGOU</t>
  </si>
  <si>
    <t xml:space="preserve">145 Avenue Du 8 Mai 1945  </t>
  </si>
  <si>
    <t>xavier.jegou@laposte.net</t>
  </si>
  <si>
    <t>0235457647</t>
  </si>
  <si>
    <t>0762780519</t>
  </si>
  <si>
    <t>09760458</t>
  </si>
  <si>
    <t>SAFRAN NACELLES NORMANDIE SPORTS</t>
  </si>
  <si>
    <t>JOPH</t>
  </si>
  <si>
    <t>50908</t>
  </si>
  <si>
    <t>JOLITON</t>
  </si>
  <si>
    <t xml:space="preserve">2 Les Cypres  </t>
  </si>
  <si>
    <t>DIGOSVILLE</t>
  </si>
  <si>
    <t>philippe.joliton@orange.fr</t>
  </si>
  <si>
    <t>0233205683</t>
  </si>
  <si>
    <t>0682051223</t>
  </si>
  <si>
    <t>JOST</t>
  </si>
  <si>
    <t>145409</t>
  </si>
  <si>
    <t>JOUBLIN</t>
  </si>
  <si>
    <t>275 CHEMIN DE L'EGLANTINE  LE GLATINEY</t>
  </si>
  <si>
    <t>ST PAUL DE FOURQUES</t>
  </si>
  <si>
    <t>stephane.joublin@bbox.fr</t>
  </si>
  <si>
    <t>0642294226</t>
  </si>
  <si>
    <t>5018150</t>
  </si>
  <si>
    <t>JOUIN JEHAN</t>
  </si>
  <si>
    <t>Corentin</t>
  </si>
  <si>
    <t xml:space="preserve">7 RESIDENCE LA MALICOTIERE  </t>
  </si>
  <si>
    <t>PARIGNY</t>
  </si>
  <si>
    <t>jouinjehancorentin861@gmail.com</t>
  </si>
  <si>
    <t>0250816078</t>
  </si>
  <si>
    <t>0681227664</t>
  </si>
  <si>
    <t>09500112</t>
  </si>
  <si>
    <t>SAINT HILAIRE/PARIGNY</t>
  </si>
  <si>
    <t>JOJE</t>
  </si>
  <si>
    <t>502203</t>
  </si>
  <si>
    <t>JOURDAIN</t>
  </si>
  <si>
    <t>27 Route de Villedieu  Les Costils</t>
  </si>
  <si>
    <t>ST POIS</t>
  </si>
  <si>
    <t>j-f.jourdain@ozone.net</t>
  </si>
  <si>
    <t>0233598806</t>
  </si>
  <si>
    <t>0633352172</t>
  </si>
  <si>
    <t>09500111</t>
  </si>
  <si>
    <t>ST POISIENNE A</t>
  </si>
  <si>
    <t>JUCH</t>
  </si>
  <si>
    <t>142014</t>
  </si>
  <si>
    <t>JUSTE</t>
  </si>
  <si>
    <t>Christine</t>
  </si>
  <si>
    <t xml:space="preserve">16 Rue des Ergalanciers  </t>
  </si>
  <si>
    <t>CORMELLES LE ROYAL</t>
  </si>
  <si>
    <t>christine.juste@neuf.fr</t>
  </si>
  <si>
    <t>0231780857</t>
  </si>
  <si>
    <t>0615240446</t>
  </si>
  <si>
    <t>KIJE</t>
  </si>
  <si>
    <t>7648323</t>
  </si>
  <si>
    <t>KIEFFER</t>
  </si>
  <si>
    <t xml:space="preserve">7 rue Descamps  </t>
  </si>
  <si>
    <t>kj1976a@gmail.com</t>
  </si>
  <si>
    <t>0664924784</t>
  </si>
  <si>
    <t>KOAN</t>
  </si>
  <si>
    <t>616821</t>
  </si>
  <si>
    <t>KOELZ</t>
  </si>
  <si>
    <t>Anthony</t>
  </si>
  <si>
    <t xml:space="preserve">237 route de l'ardoisière  </t>
  </si>
  <si>
    <t>Heloup</t>
  </si>
  <si>
    <t>koelz.anthony@gmail.com</t>
  </si>
  <si>
    <t>0233267939</t>
  </si>
  <si>
    <t>0676122852</t>
  </si>
  <si>
    <t>KODE</t>
  </si>
  <si>
    <t>537074</t>
  </si>
  <si>
    <t xml:space="preserve">17 Bis Route d'Hesloup  </t>
  </si>
  <si>
    <t>ST GERMAIN DU CORBEIS</t>
  </si>
  <si>
    <t>DKoelz61@aol.com</t>
  </si>
  <si>
    <t>0607402276</t>
  </si>
  <si>
    <t>LAFA</t>
  </si>
  <si>
    <t>1412870</t>
  </si>
  <si>
    <t>LAAIFAT</t>
  </si>
  <si>
    <t>Farid</t>
  </si>
  <si>
    <t xml:space="preserve">27 Rue Saint-Nicol Appt  A23 </t>
  </si>
  <si>
    <t>Honfleur</t>
  </si>
  <si>
    <t>f.laaifat@gmail.com</t>
  </si>
  <si>
    <t>0611442514</t>
  </si>
  <si>
    <t>09140071</t>
  </si>
  <si>
    <t>CLUB HONFLEURAIS DE TENNIS DE TA</t>
  </si>
  <si>
    <t>LAJE</t>
  </si>
  <si>
    <t>7610984</t>
  </si>
  <si>
    <t>LAGUERRE</t>
  </si>
  <si>
    <t xml:space="preserve">37 A, RUE LEGRELLE  </t>
  </si>
  <si>
    <t>MONTVILLE</t>
  </si>
  <si>
    <t>jerome.laguerre@orange.fr</t>
  </si>
  <si>
    <t>0235333216</t>
  </si>
  <si>
    <t>0666960983</t>
  </si>
  <si>
    <t>722449</t>
  </si>
  <si>
    <t>LAIGNER</t>
  </si>
  <si>
    <t xml:space="preserve">9 Rue du Chene  </t>
  </si>
  <si>
    <t>ARCONNAY</t>
  </si>
  <si>
    <t>jp.laigner@orange.fr</t>
  </si>
  <si>
    <t>0233311055</t>
  </si>
  <si>
    <t>0681802572</t>
  </si>
  <si>
    <t>LAOL</t>
  </si>
  <si>
    <t>1413376</t>
  </si>
  <si>
    <t>LAPIERRE</t>
  </si>
  <si>
    <t>Le Val  Roullours</t>
  </si>
  <si>
    <t>Vire Normandie</t>
  </si>
  <si>
    <t>jolap14@hotmail.fr</t>
  </si>
  <si>
    <t>0231090475</t>
  </si>
  <si>
    <t>0614736114</t>
  </si>
  <si>
    <t>09140023</t>
  </si>
  <si>
    <t>USMVIRE Tennis de Table</t>
  </si>
  <si>
    <t>LAFR</t>
  </si>
  <si>
    <t>509587</t>
  </si>
  <si>
    <t>LAVIGNE</t>
  </si>
  <si>
    <t xml:space="preserve">5 Rue des Jardins  </t>
  </si>
  <si>
    <t>STE SUZANNE SUR VIRE</t>
  </si>
  <si>
    <t>oc.agneaux@orange.fr</t>
  </si>
  <si>
    <t>0677552000</t>
  </si>
  <si>
    <t>1410731</t>
  </si>
  <si>
    <t>LE BONHOMME</t>
  </si>
  <si>
    <t xml:space="preserve">182 Chemin Du Clocher ST OUEN LE HOUX </t>
  </si>
  <si>
    <t>Livarot</t>
  </si>
  <si>
    <t>pascal.lebonhomme@wanadoo.fr</t>
  </si>
  <si>
    <t>0231323737</t>
  </si>
  <si>
    <t>0666000763</t>
  </si>
  <si>
    <t>LECH</t>
  </si>
  <si>
    <t>7658</t>
  </si>
  <si>
    <t>LE CORVEC</t>
  </si>
  <si>
    <t xml:space="preserve">22 Rue Étienne Delarue  </t>
  </si>
  <si>
    <t>Rouen</t>
  </si>
  <si>
    <t>c.lecorvec@yahoo.fr</t>
  </si>
  <si>
    <t>0661738448</t>
  </si>
  <si>
    <t>229592</t>
  </si>
  <si>
    <t>LE PAPE</t>
  </si>
  <si>
    <t xml:space="preserve">3 La Millonniere  </t>
  </si>
  <si>
    <t>Courcy</t>
  </si>
  <si>
    <t>bees.tennisdetable@orange.fr</t>
  </si>
  <si>
    <t>0632721815</t>
  </si>
  <si>
    <t>09500003</t>
  </si>
  <si>
    <t>SAINT LO PL</t>
  </si>
  <si>
    <t>LEMA</t>
  </si>
  <si>
    <t>5016937</t>
  </si>
  <si>
    <t>LE ROY</t>
  </si>
  <si>
    <t>Matthieu</t>
  </si>
  <si>
    <t xml:space="preserve">Aubry  </t>
  </si>
  <si>
    <t>matth_94@hotmail.com</t>
  </si>
  <si>
    <t>0982393702</t>
  </si>
  <si>
    <t>0659315592</t>
  </si>
  <si>
    <t>LEMO</t>
  </si>
  <si>
    <t>767486</t>
  </si>
  <si>
    <t>LEBAILLEUR-LACAGE</t>
  </si>
  <si>
    <t>Monique</t>
  </si>
  <si>
    <t>17, RUE ALAIN   -   APPT 457 LES COTEAUX DU ROY La maine</t>
  </si>
  <si>
    <t>monique.lacage@sfr.fr</t>
  </si>
  <si>
    <t>0235741809</t>
  </si>
  <si>
    <t>0667001647</t>
  </si>
  <si>
    <t>143118</t>
  </si>
  <si>
    <t>LEBARBIER</t>
  </si>
  <si>
    <t xml:space="preserve">9 lotissement la Goulette  </t>
  </si>
  <si>
    <t>COMMES</t>
  </si>
  <si>
    <t>lebarbier.daniel14@gmail.com</t>
  </si>
  <si>
    <t>0231921665</t>
  </si>
  <si>
    <t>0684869861</t>
  </si>
  <si>
    <t>275500</t>
  </si>
  <si>
    <t>LEBER</t>
  </si>
  <si>
    <t xml:space="preserve">92 Chemin Du Poste  </t>
  </si>
  <si>
    <t>Les Authieux-sur-le-Port-Saint-Ouen</t>
  </si>
  <si>
    <t>patrick.leber@laposte.net</t>
  </si>
  <si>
    <t>0982559644</t>
  </si>
  <si>
    <t>0676634313</t>
  </si>
  <si>
    <t>LEFA</t>
  </si>
  <si>
    <t>272102</t>
  </si>
  <si>
    <t>LEBLANC</t>
  </si>
  <si>
    <t>Fabrice</t>
  </si>
  <si>
    <t xml:space="preserve">4, cite La Forge  </t>
  </si>
  <si>
    <t>GLOS SUR RISLE</t>
  </si>
  <si>
    <t>tonton-fab@live.fr</t>
  </si>
  <si>
    <t>0685303477</t>
  </si>
  <si>
    <t>LENI</t>
  </si>
  <si>
    <t>271241</t>
  </si>
  <si>
    <t>Nicole</t>
  </si>
  <si>
    <t xml:space="preserve">42 MOULIN DU VIEVRE  </t>
  </si>
  <si>
    <t>ST PHILBERT SUR RISLE</t>
  </si>
  <si>
    <t>gerhen.leblanc@orange.fr</t>
  </si>
  <si>
    <t>0232560294</t>
  </si>
  <si>
    <t>0687186850</t>
  </si>
  <si>
    <t>1412716</t>
  </si>
  <si>
    <t>LEBOSSE</t>
  </si>
  <si>
    <t xml:space="preserve">18 rue du bassin Chez Mme LE VECHEN Angelique </t>
  </si>
  <si>
    <t>COURSEULLES SUR MER</t>
  </si>
  <si>
    <t>julienleboose@hotmail.fr</t>
  </si>
  <si>
    <t>0661195128</t>
  </si>
  <si>
    <t>09140032</t>
  </si>
  <si>
    <t>LISIEUX ASTT</t>
  </si>
  <si>
    <t>LENO</t>
  </si>
  <si>
    <t>61953</t>
  </si>
  <si>
    <t>LEBOURG</t>
  </si>
  <si>
    <t>Norbert</t>
  </si>
  <si>
    <t xml:space="preserve">152 rue de Boucherville  </t>
  </si>
  <si>
    <t>GRANVILLE</t>
  </si>
  <si>
    <t>norbert.lebourg@sfr.fr</t>
  </si>
  <si>
    <t>0233519866</t>
  </si>
  <si>
    <t>0622374517</t>
  </si>
  <si>
    <t>09500063</t>
  </si>
  <si>
    <t>U.S.M DONVILLAISES TENNIS DE TAB</t>
  </si>
  <si>
    <t>766008</t>
  </si>
  <si>
    <t>LECHEVALLIER</t>
  </si>
  <si>
    <t xml:space="preserve">41 RUE MARECHAL LECLERC 41, rue du marechal Leclerc </t>
  </si>
  <si>
    <t>pascallechevallier@free.fr</t>
  </si>
  <si>
    <t>0614184917</t>
  </si>
  <si>
    <t>LELA</t>
  </si>
  <si>
    <t>5023372</t>
  </si>
  <si>
    <t>LECLERC</t>
  </si>
  <si>
    <t xml:space="preserve">32bis route de Coutance  </t>
  </si>
  <si>
    <t>laurent.leclerc40@orange.fr</t>
  </si>
  <si>
    <t>0680208891</t>
  </si>
  <si>
    <t>LEMI</t>
  </si>
  <si>
    <t>7634671</t>
  </si>
  <si>
    <t>Michael</t>
  </si>
  <si>
    <t xml:space="preserve">2 rue des Camelias  </t>
  </si>
  <si>
    <t>leclerc.michael43@free.fr</t>
  </si>
  <si>
    <t>0952920716</t>
  </si>
  <si>
    <t>0617013815</t>
  </si>
  <si>
    <t>LEER</t>
  </si>
  <si>
    <t>501142</t>
  </si>
  <si>
    <t>LECLERE</t>
  </si>
  <si>
    <t xml:space="preserve">9 Allée Des Fontaines Saint-Léonard BAT C APPT 218 </t>
  </si>
  <si>
    <t>eric.leclere@netcourrier.com</t>
  </si>
  <si>
    <t>0674505292</t>
  </si>
  <si>
    <t>7612049</t>
  </si>
  <si>
    <t>LECOINTRE</t>
  </si>
  <si>
    <t>Francoise</t>
  </si>
  <si>
    <t xml:space="preserve">77 RUE PIERRE LEFRANCOIS  </t>
  </si>
  <si>
    <t>francoise.sudron@free.fr</t>
  </si>
  <si>
    <t>0235697949</t>
  </si>
  <si>
    <t>0621642736</t>
  </si>
  <si>
    <t>LEDI</t>
  </si>
  <si>
    <t>507297</t>
  </si>
  <si>
    <t>LECOQ</t>
  </si>
  <si>
    <t xml:space="preserve">20 Rue des Vignes  </t>
  </si>
  <si>
    <t>LE TEILLEUL</t>
  </si>
  <si>
    <t>did.lecoq@orange.fr</t>
  </si>
  <si>
    <t>0233599983</t>
  </si>
  <si>
    <t>0620164627</t>
  </si>
  <si>
    <t>09500088</t>
  </si>
  <si>
    <t>TEILLEULAIS TT</t>
  </si>
  <si>
    <t>LEOL</t>
  </si>
  <si>
    <t>7646580</t>
  </si>
  <si>
    <t>LEDAIN</t>
  </si>
  <si>
    <t xml:space="preserve">99 Rue De La Hétraie  </t>
  </si>
  <si>
    <t>Saint-Aubin-Épinay</t>
  </si>
  <si>
    <t>olivierledain@hotmail.fr</t>
  </si>
  <si>
    <t>0777371439</t>
  </si>
  <si>
    <t>LEXA</t>
  </si>
  <si>
    <t>5014451</t>
  </si>
  <si>
    <t>LEDOS</t>
  </si>
  <si>
    <t xml:space="preserve">16 VILLAGE RUEL  </t>
  </si>
  <si>
    <t>ST JEAN DES CHAMPS</t>
  </si>
  <si>
    <t>xavier.ledos@gmail.com</t>
  </si>
  <si>
    <t>0233511622</t>
  </si>
  <si>
    <t>0673353542</t>
  </si>
  <si>
    <t>09500053</t>
  </si>
  <si>
    <t>SAINT JEAN DES CHAMPS RC</t>
  </si>
  <si>
    <t>LEJE</t>
  </si>
  <si>
    <t>7630457</t>
  </si>
  <si>
    <t>LEFEBVRE</t>
  </si>
  <si>
    <t>Jean-Michel</t>
  </si>
  <si>
    <t>rue 874 du chene Favrel</t>
  </si>
  <si>
    <t>ST SAENS</t>
  </si>
  <si>
    <t>lefebvrejmichel@hotmail.com</t>
  </si>
  <si>
    <t>0628767655</t>
  </si>
  <si>
    <t>LEJA</t>
  </si>
  <si>
    <t>1413816</t>
  </si>
  <si>
    <t>LEFEVRE</t>
  </si>
  <si>
    <t>Jacky</t>
  </si>
  <si>
    <t xml:space="preserve">41 Residence la Chapelle  </t>
  </si>
  <si>
    <t>MEZIDON CANON</t>
  </si>
  <si>
    <t>karine.jacky@wanadoo.fr</t>
  </si>
  <si>
    <t>0231205968</t>
  </si>
  <si>
    <t>0685553532</t>
  </si>
  <si>
    <t>09140202</t>
  </si>
  <si>
    <t>LE MESNIL MAUGER LPT</t>
  </si>
  <si>
    <t>7631950</t>
  </si>
  <si>
    <t xml:space="preserve">6 rue de Verdun   </t>
  </si>
  <si>
    <t>Londinières</t>
  </si>
  <si>
    <t>julien.lefevre76410@gmail.com</t>
  </si>
  <si>
    <t>0626035910</t>
  </si>
  <si>
    <t>09760297</t>
  </si>
  <si>
    <t>RAQUETTE SPORTIVE ENVERMEU</t>
  </si>
  <si>
    <t>7628941</t>
  </si>
  <si>
    <t>LEGAY</t>
  </si>
  <si>
    <t xml:space="preserve">6 RUE DE LA RAVINE  </t>
  </si>
  <si>
    <t>RENNEVILLE</t>
  </si>
  <si>
    <t>legay.xavier@wanadoo.fr</t>
  </si>
  <si>
    <t>0625153066</t>
  </si>
  <si>
    <t>09760319</t>
  </si>
  <si>
    <t>ELAN BOESIEN POUR LA MAITRISE T</t>
  </si>
  <si>
    <t>6110953</t>
  </si>
  <si>
    <t>LEGEAI</t>
  </si>
  <si>
    <t>Frédéric</t>
  </si>
  <si>
    <t xml:space="preserve">Le Rialin  </t>
  </si>
  <si>
    <t>ST HILAIRE LE CHATEL</t>
  </si>
  <si>
    <t>legeai.frederic@orange.fr</t>
  </si>
  <si>
    <t>0646055590</t>
  </si>
  <si>
    <t>502310</t>
  </si>
  <si>
    <t>LEGOUBEY</t>
  </si>
  <si>
    <t>Jean Pierre</t>
  </si>
  <si>
    <t xml:space="preserve">40 Rue du Sud  </t>
  </si>
  <si>
    <t>GOUVILLE SUR MER</t>
  </si>
  <si>
    <t>jp.legoubey@gmail.com</t>
  </si>
  <si>
    <t>0233479071</t>
  </si>
  <si>
    <t>0676399894</t>
  </si>
  <si>
    <t>09500139</t>
  </si>
  <si>
    <t>GOUVILLE-COUTAINVILLE ENTENTE</t>
  </si>
  <si>
    <t>2716806</t>
  </si>
  <si>
    <t>LEGUELINEL</t>
  </si>
  <si>
    <t xml:space="preserve">L'EVEQUERIE  </t>
  </si>
  <si>
    <t>bruno.leguelinel@orange.fr</t>
  </si>
  <si>
    <t>0232564841</t>
  </si>
  <si>
    <t>LELO</t>
  </si>
  <si>
    <t>2717260</t>
  </si>
  <si>
    <t>Louis</t>
  </si>
  <si>
    <t xml:space="preserve">48 impasse de L'EVEQUERIE  </t>
  </si>
  <si>
    <t>louis.leguelinel@gmail.com</t>
  </si>
  <si>
    <t>0645559504</t>
  </si>
  <si>
    <t>0767518809</t>
  </si>
  <si>
    <t>7647570</t>
  </si>
  <si>
    <t>LEI</t>
  </si>
  <si>
    <t>Rémi</t>
  </si>
  <si>
    <t xml:space="preserve">3 rue des arts réunis  </t>
  </si>
  <si>
    <t>remi.lei@orange.fr</t>
  </si>
  <si>
    <t>0783756714</t>
  </si>
  <si>
    <t>7641387</t>
  </si>
  <si>
    <t>LEMELE</t>
  </si>
  <si>
    <t xml:space="preserve">3 rue de la Passee  </t>
  </si>
  <si>
    <t>CLASVILLE</t>
  </si>
  <si>
    <t>matthieu.lemele@gmail.com</t>
  </si>
  <si>
    <t>0620529167</t>
  </si>
  <si>
    <t>7624774</t>
  </si>
  <si>
    <t>LEMERCIER</t>
  </si>
  <si>
    <t>Rodolphe</t>
  </si>
  <si>
    <t xml:space="preserve">1 Rue Guillaume Lalizel  </t>
  </si>
  <si>
    <t>rodolphe.lemercier@orange.fr</t>
  </si>
  <si>
    <t>0676919931</t>
  </si>
  <si>
    <t>LEYA</t>
  </si>
  <si>
    <t>5010614</t>
  </si>
  <si>
    <t>LEMETAIS</t>
  </si>
  <si>
    <t xml:space="preserve">5 rue louis BEUVE  </t>
  </si>
  <si>
    <t>LA GLACERIE</t>
  </si>
  <si>
    <t>laetitiayannick@hotmail.fr</t>
  </si>
  <si>
    <t>0233546486</t>
  </si>
  <si>
    <t>0627444625</t>
  </si>
  <si>
    <t>09500121</t>
  </si>
  <si>
    <t>LA GLACERIE US TT</t>
  </si>
  <si>
    <t>1416464</t>
  </si>
  <si>
    <t>LEMONCHOIS</t>
  </si>
  <si>
    <t xml:space="preserve">10 Place de l'église  </t>
  </si>
  <si>
    <t>MONTILLY SUR NOIREAU</t>
  </si>
  <si>
    <t>conde.tennisdetable@gmail.com</t>
  </si>
  <si>
    <t>0233371970</t>
  </si>
  <si>
    <t>0659621906</t>
  </si>
  <si>
    <t>LEAL</t>
  </si>
  <si>
    <t>761792</t>
  </si>
  <si>
    <t>LEMONNIER</t>
  </si>
  <si>
    <t xml:space="preserve">35 rue Franklin  </t>
  </si>
  <si>
    <t>al.lmo@wanadoo.fr</t>
  </si>
  <si>
    <t>0235225526</t>
  </si>
  <si>
    <t>0684624789</t>
  </si>
  <si>
    <t>POMA</t>
  </si>
  <si>
    <t>5010602</t>
  </si>
  <si>
    <t>Marie-Agnes</t>
  </si>
  <si>
    <t xml:space="preserve">Les Quatre Chemins  </t>
  </si>
  <si>
    <t>LE NEUFBOURG</t>
  </si>
  <si>
    <t>stlemonnier@sfr.fr</t>
  </si>
  <si>
    <t>0233598670</t>
  </si>
  <si>
    <t>0667889822</t>
  </si>
  <si>
    <t>LEPH</t>
  </si>
  <si>
    <t>50252</t>
  </si>
  <si>
    <t>LEMPERIERE</t>
  </si>
  <si>
    <t xml:space="preserve">Chemin de Montfort  </t>
  </si>
  <si>
    <t>QUETTETOT</t>
  </si>
  <si>
    <t>phil.lemperiere@wanadoo.fr</t>
  </si>
  <si>
    <t>0967233544</t>
  </si>
  <si>
    <t>0632058163</t>
  </si>
  <si>
    <t>09500011</t>
  </si>
  <si>
    <t>BRICQUEBEC UC</t>
  </si>
  <si>
    <t>7830693</t>
  </si>
  <si>
    <t>LEOCAT</t>
  </si>
  <si>
    <t>Morgan</t>
  </si>
  <si>
    <t xml:space="preserve">21 rue Marguerite Duras  </t>
  </si>
  <si>
    <t>BLAINVILLE SUR ORNE</t>
  </si>
  <si>
    <t>pingmaniac@yahoo.fr</t>
  </si>
  <si>
    <t>0618586142</t>
  </si>
  <si>
    <t>503495</t>
  </si>
  <si>
    <t>LEPETIT</t>
  </si>
  <si>
    <t xml:space="preserve">17 Rue du Verger  </t>
  </si>
  <si>
    <t>lepetitjmb@gmail.com</t>
  </si>
  <si>
    <t>0233447766</t>
  </si>
  <si>
    <t>5016088</t>
  </si>
  <si>
    <t>LEPILLIEZ</t>
  </si>
  <si>
    <t xml:space="preserve">6 Place du Passeux  </t>
  </si>
  <si>
    <t>CARENTAN</t>
  </si>
  <si>
    <t>laurent.lepilliez@sfr.fr</t>
  </si>
  <si>
    <t>0233420133</t>
  </si>
  <si>
    <t>0667671603</t>
  </si>
  <si>
    <t>LEVA</t>
  </si>
  <si>
    <t>6112934</t>
  </si>
  <si>
    <t>LEPRINCE</t>
  </si>
  <si>
    <t>Valentin</t>
  </si>
  <si>
    <t xml:space="preserve">6 La Croix au Merle  </t>
  </si>
  <si>
    <t>BELLOU EN HOULME</t>
  </si>
  <si>
    <t>leprincevalentin5@gmail.com</t>
  </si>
  <si>
    <t>0615802945</t>
  </si>
  <si>
    <t>09610056</t>
  </si>
  <si>
    <t>BRIOUZAIN OC</t>
  </si>
  <si>
    <t>5019368</t>
  </si>
  <si>
    <t>LEPROVOST</t>
  </si>
  <si>
    <t xml:space="preserve">6 route de la grande renaudière  </t>
  </si>
  <si>
    <t>Guilberville</t>
  </si>
  <si>
    <t>leprovost.p@gmail.com</t>
  </si>
  <si>
    <t>0233721071</t>
  </si>
  <si>
    <t>0699367900</t>
  </si>
  <si>
    <t>1417984</t>
  </si>
  <si>
    <t>LEROUGE</t>
  </si>
  <si>
    <t>Laurence</t>
  </si>
  <si>
    <t xml:space="preserve">12 bis lotissement Ponchaud  </t>
  </si>
  <si>
    <t>CORMEILLES</t>
  </si>
  <si>
    <t>lerougelaurence@orange.fr</t>
  </si>
  <si>
    <t>0232565981</t>
  </si>
  <si>
    <t>0624895139</t>
  </si>
  <si>
    <t>2722912</t>
  </si>
  <si>
    <t>LEROUX</t>
  </si>
  <si>
    <t>Franck</t>
  </si>
  <si>
    <t xml:space="preserve">1 bis, chemin Durand  </t>
  </si>
  <si>
    <t>St-Christophe/Condé</t>
  </si>
  <si>
    <t>flerx27@live.fr</t>
  </si>
  <si>
    <t>06.87.59.24.82</t>
  </si>
  <si>
    <t>LELU</t>
  </si>
  <si>
    <t>6114403</t>
  </si>
  <si>
    <t>LESAGE</t>
  </si>
  <si>
    <t>Ludy</t>
  </si>
  <si>
    <t xml:space="preserve">2 Avenue de la Gare  </t>
  </si>
  <si>
    <t>MORTAGNE-AU-PERCHE</t>
  </si>
  <si>
    <t>lesage.ludy@gmail.com</t>
  </si>
  <si>
    <t>0647987661</t>
  </si>
  <si>
    <t>LEMY</t>
  </si>
  <si>
    <t>7619428</t>
  </si>
  <si>
    <t>LESTERLIN</t>
  </si>
  <si>
    <t>Myriam</t>
  </si>
  <si>
    <t>Immeuble Etamine  46 Rue georges Lemaitre</t>
  </si>
  <si>
    <t>BOLBEC</t>
  </si>
  <si>
    <t>myriamlesterlin1@gmail.com</t>
  </si>
  <si>
    <t>0965387785</t>
  </si>
  <si>
    <t>0611158039</t>
  </si>
  <si>
    <t>09760136</t>
  </si>
  <si>
    <t>TROIS SETS BOLBECAIS</t>
  </si>
  <si>
    <t>LEBR</t>
  </si>
  <si>
    <t>5012492</t>
  </si>
  <si>
    <t>LETENDRE</t>
  </si>
  <si>
    <t>Brigitte</t>
  </si>
  <si>
    <t xml:space="preserve">12, Due Des Sorbiers  </t>
  </si>
  <si>
    <t>dominique.letendre@free.fr</t>
  </si>
  <si>
    <t>0233482563</t>
  </si>
  <si>
    <t>0676793023</t>
  </si>
  <si>
    <t>LEDO</t>
  </si>
  <si>
    <t>50983</t>
  </si>
  <si>
    <t xml:space="preserve">12, Rue Des Sorbiers  </t>
  </si>
  <si>
    <t>LEKA</t>
  </si>
  <si>
    <t>142345</t>
  </si>
  <si>
    <t>LETHARD</t>
  </si>
  <si>
    <t xml:space="preserve">27 Rue Berthe Morisot  </t>
  </si>
  <si>
    <t>cspfleurysurornett@gmail.com</t>
  </si>
  <si>
    <t>0622769172</t>
  </si>
  <si>
    <t>7619140</t>
  </si>
  <si>
    <t>LEVEE</t>
  </si>
  <si>
    <t xml:space="preserve">la mesangerie 8 residence </t>
  </si>
  <si>
    <t>LA REMUEE</t>
  </si>
  <si>
    <t>leveepat76@free.fr</t>
  </si>
  <si>
    <t>0980949475</t>
  </si>
  <si>
    <t>0652473680</t>
  </si>
  <si>
    <t>09760428</t>
  </si>
  <si>
    <t>COF DUNOISE PONGISTE</t>
  </si>
  <si>
    <t>LHAR</t>
  </si>
  <si>
    <t>1411159</t>
  </si>
  <si>
    <t>LHOMME</t>
  </si>
  <si>
    <t>Arnaud</t>
  </si>
  <si>
    <t xml:space="preserve">Allée des Grands Prés  </t>
  </si>
  <si>
    <t>GOUSTRANVILLE</t>
  </si>
  <si>
    <t>pontlevequett@gmail.com</t>
  </si>
  <si>
    <t>0634079757</t>
  </si>
  <si>
    <t>6010073</t>
  </si>
  <si>
    <t>LISKA</t>
  </si>
  <si>
    <t xml:space="preserve">RUE JOSEPH FINANCE RESIDENCE ANNE - APPT A22 </t>
  </si>
  <si>
    <t>GOURNAY EN BRAY</t>
  </si>
  <si>
    <t>fabriceliska@free.fr</t>
  </si>
  <si>
    <t>0684281426</t>
  </si>
  <si>
    <t>09270112</t>
  </si>
  <si>
    <t>U S ETREPAGNY T T</t>
  </si>
  <si>
    <t>LICE</t>
  </si>
  <si>
    <t>7620487</t>
  </si>
  <si>
    <t>LIXON</t>
  </si>
  <si>
    <t>Celia</t>
  </si>
  <si>
    <t xml:space="preserve">120 Rue des Buissons  </t>
  </si>
  <si>
    <t>BOOS</t>
  </si>
  <si>
    <t>celia.chauvris@gmail.com</t>
  </si>
  <si>
    <t>0641790588</t>
  </si>
  <si>
    <t>147016</t>
  </si>
  <si>
    <t>LOISY</t>
  </si>
  <si>
    <t>Marie-Louise</t>
  </si>
  <si>
    <t xml:space="preserve">11 Impasse Grimard  </t>
  </si>
  <si>
    <t>TROUVILLE SUR MER</t>
  </si>
  <si>
    <t>stephanie.dolley@orange.fr</t>
  </si>
  <si>
    <t>0231883732</t>
  </si>
  <si>
    <t>0689312835</t>
  </si>
  <si>
    <t>7648430</t>
  </si>
  <si>
    <t>LORPHELIN</t>
  </si>
  <si>
    <t>Lucie</t>
  </si>
  <si>
    <t xml:space="preserve">16 rue Auguste Blanqui  </t>
  </si>
  <si>
    <t>PETIT QUEVILLY</t>
  </si>
  <si>
    <t>lucie.lrphelin@icloud.com</t>
  </si>
  <si>
    <t>0666610596</t>
  </si>
  <si>
    <t>LOGE</t>
  </si>
  <si>
    <t>7634142</t>
  </si>
  <si>
    <t>LOUISET</t>
  </si>
  <si>
    <t>Gerard</t>
  </si>
  <si>
    <t xml:space="preserve">1 avenue des bruyeres  </t>
  </si>
  <si>
    <t>OISSEL</t>
  </si>
  <si>
    <t>gerard-loui76@orange.fr</t>
  </si>
  <si>
    <t>0235642643</t>
  </si>
  <si>
    <t>0681854823</t>
  </si>
  <si>
    <t>1425371</t>
  </si>
  <si>
    <t>LOUVET</t>
  </si>
  <si>
    <t>Loic</t>
  </si>
  <si>
    <t xml:space="preserve">602 Quartier le bois  </t>
  </si>
  <si>
    <t>HEROUVILLE ST CLAIR</t>
  </si>
  <si>
    <t>loiclouvet34@gmail.com</t>
  </si>
  <si>
    <t>0682410613</t>
  </si>
  <si>
    <t>LUCH</t>
  </si>
  <si>
    <t>61284</t>
  </si>
  <si>
    <t>LUCAS</t>
  </si>
  <si>
    <t xml:space="preserve">La Douardiere  </t>
  </si>
  <si>
    <t>LANDISACQ</t>
  </si>
  <si>
    <t>christian.lucas61@yahoo.fr</t>
  </si>
  <si>
    <t>0233648500</t>
  </si>
  <si>
    <t>0626013186</t>
  </si>
  <si>
    <t>09610011</t>
  </si>
  <si>
    <t>TINCHEBRAY PSJ</t>
  </si>
  <si>
    <t>5023878</t>
  </si>
  <si>
    <t>Stephanie</t>
  </si>
  <si>
    <t xml:space="preserve">46 rue du Clos de l'Est  </t>
  </si>
  <si>
    <t>Cherbourg-En-Cotentin</t>
  </si>
  <si>
    <t>stephanier1.lucas@gmail.com</t>
  </si>
  <si>
    <t>0669547104</t>
  </si>
  <si>
    <t>LUGR</t>
  </si>
  <si>
    <t>721275</t>
  </si>
  <si>
    <t>LUSSON</t>
  </si>
  <si>
    <t xml:space="preserve">21 Rue Du Colonel Albert Lesueur  </t>
  </si>
  <si>
    <t>Le Houlme</t>
  </si>
  <si>
    <t>gregory.lusson@vivaldi.net</t>
  </si>
  <si>
    <t>0671872419</t>
  </si>
  <si>
    <t>MAMO</t>
  </si>
  <si>
    <t>143707</t>
  </si>
  <si>
    <t>MAHIEU</t>
  </si>
  <si>
    <t xml:space="preserve">3 Avenue des Dunettes  </t>
  </si>
  <si>
    <t>CABOURG</t>
  </si>
  <si>
    <t>psgmomo@gmail.com</t>
  </si>
  <si>
    <t>0231246676</t>
  </si>
  <si>
    <t>0620141329</t>
  </si>
  <si>
    <t>MACY</t>
  </si>
  <si>
    <t>7615114</t>
  </si>
  <si>
    <t>MAINNEMARE</t>
  </si>
  <si>
    <t xml:space="preserve">Residence Emmanuelle  </t>
  </si>
  <si>
    <t>Rouxmesnil-Bouteilles</t>
  </si>
  <si>
    <t>ttcepsna@gmail.com</t>
  </si>
  <si>
    <t>0661981295</t>
  </si>
  <si>
    <t>MAFA</t>
  </si>
  <si>
    <t>1410957</t>
  </si>
  <si>
    <t>MALBRANCHE</t>
  </si>
  <si>
    <t>Fabien</t>
  </si>
  <si>
    <t xml:space="preserve">Chemin du Val  </t>
  </si>
  <si>
    <t>MOYAUX</t>
  </si>
  <si>
    <t>fab.malbranche@wanadoo.fr</t>
  </si>
  <si>
    <t>0627451409</t>
  </si>
  <si>
    <t>09270177</t>
  </si>
  <si>
    <t>THIBERVILLE TT</t>
  </si>
  <si>
    <t>MAAL</t>
  </si>
  <si>
    <t>7621875</t>
  </si>
  <si>
    <t>MALET</t>
  </si>
  <si>
    <t xml:space="preserve">18 rue d'Haucourt  </t>
  </si>
  <si>
    <t>GRIGNEUSEVILLE</t>
  </si>
  <si>
    <t>alainmalet59@gmail.com</t>
  </si>
  <si>
    <t>0235334303</t>
  </si>
  <si>
    <t>0661897470</t>
  </si>
  <si>
    <t>09760366</t>
  </si>
  <si>
    <t>LA CRIQUE  TT</t>
  </si>
  <si>
    <t>3725517</t>
  </si>
  <si>
    <t>MANCEAU</t>
  </si>
  <si>
    <t>Vincent</t>
  </si>
  <si>
    <t>MORTAGNE AU PERCHE</t>
  </si>
  <si>
    <t>vincentmanceau.37@hotmail.fr</t>
  </si>
  <si>
    <t>0640073659</t>
  </si>
  <si>
    <t>MAGU</t>
  </si>
  <si>
    <t>767471</t>
  </si>
  <si>
    <t>MARAIS</t>
  </si>
  <si>
    <t xml:space="preserve">11 Rue Lair  </t>
  </si>
  <si>
    <t>guillaume.marais@free.fr</t>
  </si>
  <si>
    <t>0662346115</t>
  </si>
  <si>
    <t>MADA</t>
  </si>
  <si>
    <t>7646945</t>
  </si>
  <si>
    <t>MARECHAL</t>
  </si>
  <si>
    <t xml:space="preserve">53 Rue Jeanne d'Arc  </t>
  </si>
  <si>
    <t>rouen</t>
  </si>
  <si>
    <t>david.marechal@gmail.com</t>
  </si>
  <si>
    <t>0672029630</t>
  </si>
  <si>
    <t>MAFR</t>
  </si>
  <si>
    <t>7617864</t>
  </si>
  <si>
    <t>MARICAL</t>
  </si>
  <si>
    <t>Frederic</t>
  </si>
  <si>
    <t xml:space="preserve">108 rue du four a chaux  </t>
  </si>
  <si>
    <t>ST AUBIN ROUTOT</t>
  </si>
  <si>
    <t>F.marical88@gmail.com</t>
  </si>
  <si>
    <t>0951278447</t>
  </si>
  <si>
    <t>0760103129</t>
  </si>
  <si>
    <t>MAJE</t>
  </si>
  <si>
    <t>5010955</t>
  </si>
  <si>
    <t>MARIE</t>
  </si>
  <si>
    <t xml:space="preserve">41 Rue du Bas du Bourg  </t>
  </si>
  <si>
    <t>CREANCES</t>
  </si>
  <si>
    <t>jeromemarie1965@gmail.com</t>
  </si>
  <si>
    <t>0233473467</t>
  </si>
  <si>
    <t>0677078381</t>
  </si>
  <si>
    <t>09500163</t>
  </si>
  <si>
    <t>LA FEUILLIE CREANCES TT</t>
  </si>
  <si>
    <t>MAAN</t>
  </si>
  <si>
    <t>5953928</t>
  </si>
  <si>
    <t>MAST</t>
  </si>
  <si>
    <t xml:space="preserve">20 Rue De La Noë  </t>
  </si>
  <si>
    <t>Argentan</t>
  </si>
  <si>
    <t>toine59390@yahoo.fr</t>
  </si>
  <si>
    <t>0650506027</t>
  </si>
  <si>
    <t>MECH</t>
  </si>
  <si>
    <t>2721704</t>
  </si>
  <si>
    <t>MEGANGE</t>
  </si>
  <si>
    <t xml:space="preserve">14 rue du jonctier  </t>
  </si>
  <si>
    <t>LE VIEIL EVREUX</t>
  </si>
  <si>
    <t>ch.meg@orange.fr</t>
  </si>
  <si>
    <t>0616666111</t>
  </si>
  <si>
    <t>MOCH</t>
  </si>
  <si>
    <t>504523</t>
  </si>
  <si>
    <t>MONCHOIS</t>
  </si>
  <si>
    <t xml:space="preserve">107 route du Hameau Fontaine  </t>
  </si>
  <si>
    <t>ISIGNY SUR MER</t>
  </si>
  <si>
    <t>christian.monchois@wanadoo.fr</t>
  </si>
  <si>
    <t>0231211615</t>
  </si>
  <si>
    <t>0681573810</t>
  </si>
  <si>
    <t>09500023</t>
  </si>
  <si>
    <t>ISIGNY/ST PELLERIN TT</t>
  </si>
  <si>
    <t>6111854</t>
  </si>
  <si>
    <t>MORICEAU</t>
  </si>
  <si>
    <t>Mickael</t>
  </si>
  <si>
    <t xml:space="preserve">Le Verger - La Petite Fourche  </t>
  </si>
  <si>
    <t>PARFONDEVAL</t>
  </si>
  <si>
    <t>moriceaumi@hotmail.fr</t>
  </si>
  <si>
    <t>0250479648</t>
  </si>
  <si>
    <t>0641085264</t>
  </si>
  <si>
    <t>MOJO</t>
  </si>
  <si>
    <t>7628790</t>
  </si>
  <si>
    <t>MOUQUET</t>
  </si>
  <si>
    <t>Jordan</t>
  </si>
  <si>
    <t xml:space="preserve">3 rue des Mouettes  </t>
  </si>
  <si>
    <t>MONT SAINT AIGNAN</t>
  </si>
  <si>
    <t>jordan.biss76@gmail.com</t>
  </si>
  <si>
    <t>0235934335</t>
  </si>
  <si>
    <t>0614260334</t>
  </si>
  <si>
    <t>NALA</t>
  </si>
  <si>
    <t>509825</t>
  </si>
  <si>
    <t>NAUDIN</t>
  </si>
  <si>
    <t xml:space="preserve">72, rue de la Jeannerie  </t>
  </si>
  <si>
    <t>laurent.naudin@neuf.fr</t>
  </si>
  <si>
    <t>0233468954</t>
  </si>
  <si>
    <t>0612643506</t>
  </si>
  <si>
    <t>NELA</t>
  </si>
  <si>
    <t>1412401</t>
  </si>
  <si>
    <t>NEBOUT</t>
  </si>
  <si>
    <t xml:space="preserve">10 Impasse De Viremont  </t>
  </si>
  <si>
    <t>LOLIF</t>
  </si>
  <si>
    <t>laurent.nebout@free.fr</t>
  </si>
  <si>
    <t>0676510177</t>
  </si>
  <si>
    <t>NGAN</t>
  </si>
  <si>
    <t>272194</t>
  </si>
  <si>
    <t>NGUYEN TAM TRUC</t>
  </si>
  <si>
    <t>Angelo</t>
  </si>
  <si>
    <t xml:space="preserve">31 RUE GEORGES BIZET  </t>
  </si>
  <si>
    <t>PONT DE L ARCHE</t>
  </si>
  <si>
    <t>angelonguyen@aliceadsl.fr</t>
  </si>
  <si>
    <t>0235021587</t>
  </si>
  <si>
    <t>0606657261</t>
  </si>
  <si>
    <t>NISY</t>
  </si>
  <si>
    <t>6111796</t>
  </si>
  <si>
    <t>NICOLAS</t>
  </si>
  <si>
    <t>Sylvie</t>
  </si>
  <si>
    <t xml:space="preserve">6 Chemin de la fourche  </t>
  </si>
  <si>
    <t>sylvie.leveau72@sfr.fr</t>
  </si>
  <si>
    <t>0641851375</t>
  </si>
  <si>
    <t>7874793</t>
  </si>
  <si>
    <t>NICOT</t>
  </si>
  <si>
    <t>Baptiste</t>
  </si>
  <si>
    <t xml:space="preserve">1 rue edgar degas  </t>
  </si>
  <si>
    <t>SAINT VIGOR LE GRAND</t>
  </si>
  <si>
    <t>baptou@gmail.com</t>
  </si>
  <si>
    <t>0614282345</t>
  </si>
  <si>
    <t>OLJE</t>
  </si>
  <si>
    <t>761731</t>
  </si>
  <si>
    <t>OLIVENCIA</t>
  </si>
  <si>
    <t>Jean Michel</t>
  </si>
  <si>
    <t xml:space="preserve">129 rue de lessard  </t>
  </si>
  <si>
    <t>olivencia.jean-michel@orange.fr</t>
  </si>
  <si>
    <t>0277077088</t>
  </si>
  <si>
    <t>0661833908</t>
  </si>
  <si>
    <t>619203</t>
  </si>
  <si>
    <t>ONFROY</t>
  </si>
  <si>
    <t xml:space="preserve">12 rue Pierre et Marie Curie  </t>
  </si>
  <si>
    <t>Alencon</t>
  </si>
  <si>
    <t>morganonfroy@gmail.com</t>
  </si>
  <si>
    <t>0645047775</t>
  </si>
  <si>
    <t>ORJE</t>
  </si>
  <si>
    <t>5011705</t>
  </si>
  <si>
    <t>ORRIOLS</t>
  </si>
  <si>
    <t xml:space="preserve">37 Rue des Ormes  </t>
  </si>
  <si>
    <t>URVILLE NACQUEVILLE</t>
  </si>
  <si>
    <t>jmarc.orriols@laposte.net</t>
  </si>
  <si>
    <t>0233033639</t>
  </si>
  <si>
    <t>0668755800</t>
  </si>
  <si>
    <t>09500143</t>
  </si>
  <si>
    <t>URVILLE-NACQUEVILLE ASS TT</t>
  </si>
  <si>
    <t>ORNI</t>
  </si>
  <si>
    <t>505451</t>
  </si>
  <si>
    <t xml:space="preserve">94 Rue Saint-Sauveur  </t>
  </si>
  <si>
    <t>nicolas.orriols@laposte.net</t>
  </si>
  <si>
    <t>0981989384</t>
  </si>
  <si>
    <t>0664534188</t>
  </si>
  <si>
    <t>PALU</t>
  </si>
  <si>
    <t>76999</t>
  </si>
  <si>
    <t>PARIS</t>
  </si>
  <si>
    <t>Luc</t>
  </si>
  <si>
    <t xml:space="preserve">3 ALLEE NEUVE  </t>
  </si>
  <si>
    <t>LA SAUSSAYE</t>
  </si>
  <si>
    <t>lucparis2@free.fr</t>
  </si>
  <si>
    <t>0235879017</t>
  </si>
  <si>
    <t>0660178944</t>
  </si>
  <si>
    <t>PACH</t>
  </si>
  <si>
    <t>613265</t>
  </si>
  <si>
    <t>PASCAL</t>
  </si>
  <si>
    <t>Chansom</t>
  </si>
  <si>
    <t xml:space="preserve">1 Rue Jacques Prevert  </t>
  </si>
  <si>
    <t>VALFRAMBERT</t>
  </si>
  <si>
    <t>chan100.pascal@gmail.com</t>
  </si>
  <si>
    <t>0768117484</t>
  </si>
  <si>
    <t>09610039</t>
  </si>
  <si>
    <t>ALENCON ALC</t>
  </si>
  <si>
    <t>PAOL</t>
  </si>
  <si>
    <t>7630604</t>
  </si>
  <si>
    <t>PAYEN</t>
  </si>
  <si>
    <t xml:space="preserve">131 bis Avenue Marechal Foch  </t>
  </si>
  <si>
    <t>olivier.payen76110@gmail.com</t>
  </si>
  <si>
    <t>0665673053</t>
  </si>
  <si>
    <t>09760352</t>
  </si>
  <si>
    <t>PLATEAU HAVRAIS TT</t>
  </si>
  <si>
    <t>PEHU</t>
  </si>
  <si>
    <t>2710305</t>
  </si>
  <si>
    <t>PECARD</t>
  </si>
  <si>
    <t>Hugues</t>
  </si>
  <si>
    <t xml:space="preserve">15 Rue Henri De Campion  </t>
  </si>
  <si>
    <t>LE THUIT SIGNOL</t>
  </si>
  <si>
    <t>hpecard@wanadoo.fr</t>
  </si>
  <si>
    <t>0235784540</t>
  </si>
  <si>
    <t>0686720421</t>
  </si>
  <si>
    <t>PECH</t>
  </si>
  <si>
    <t>1414587</t>
  </si>
  <si>
    <t>PEGOURIE</t>
  </si>
  <si>
    <t xml:space="preserve">39 rue Jean JAURES  </t>
  </si>
  <si>
    <t>SOLIERS</t>
  </si>
  <si>
    <t>usomtt.president@gmail.com</t>
  </si>
  <si>
    <t>0664247550</t>
  </si>
  <si>
    <t>PESI</t>
  </si>
  <si>
    <t>1424630</t>
  </si>
  <si>
    <t>PEROCHEAU</t>
  </si>
  <si>
    <t>Simon</t>
  </si>
  <si>
    <t xml:space="preserve">10 rue Boris Vian  </t>
  </si>
  <si>
    <t>perocheau.simon@gmail.com</t>
  </si>
  <si>
    <t>0648724951</t>
  </si>
  <si>
    <t>508823</t>
  </si>
  <si>
    <t>PESET</t>
  </si>
  <si>
    <t>Gilles</t>
  </si>
  <si>
    <t xml:space="preserve">4 Allee Messent  </t>
  </si>
  <si>
    <t>QUERQUEVILLE</t>
  </si>
  <si>
    <t>Gilles.peset@orange.fr</t>
  </si>
  <si>
    <t>0233933174</t>
  </si>
  <si>
    <t>PEJU</t>
  </si>
  <si>
    <t>2717930</t>
  </si>
  <si>
    <t>PESNEL</t>
  </si>
  <si>
    <t>Julie</t>
  </si>
  <si>
    <t xml:space="preserve">18 allée jean Restout   </t>
  </si>
  <si>
    <t xml:space="preserve">Saint Sébastien de morsent </t>
  </si>
  <si>
    <t>julie.pesnel.du.27@gmail.com</t>
  </si>
  <si>
    <t>0636645313</t>
  </si>
  <si>
    <t>PEVI</t>
  </si>
  <si>
    <t>277419</t>
  </si>
  <si>
    <t>PETROZ</t>
  </si>
  <si>
    <t>Virginie</t>
  </si>
  <si>
    <t xml:space="preserve">50 Rue du bout de bas  </t>
  </si>
  <si>
    <t>JOUY SUR EURE</t>
  </si>
  <si>
    <t>stephane.petroz@orange.fr</t>
  </si>
  <si>
    <t>09 71 44 71 47</t>
  </si>
  <si>
    <t>0618889673</t>
  </si>
  <si>
    <t>09270089</t>
  </si>
  <si>
    <t>AMICALE PONG PACY MENILLES</t>
  </si>
  <si>
    <t>PHLO</t>
  </si>
  <si>
    <t>1425588</t>
  </si>
  <si>
    <t>PHILIPPE</t>
  </si>
  <si>
    <t>Lola</t>
  </si>
  <si>
    <t xml:space="preserve">1 T Rue Du Mondial 1998  </t>
  </si>
  <si>
    <t>lolaphilippe04@gmail.com</t>
  </si>
  <si>
    <t>0667761793</t>
  </si>
  <si>
    <t>PIFR</t>
  </si>
  <si>
    <t>144609</t>
  </si>
  <si>
    <t>PILLE</t>
  </si>
  <si>
    <t xml:space="preserve">14 rue Lucien Nelle  </t>
  </si>
  <si>
    <t>f.pille@wanadoo.fr</t>
  </si>
  <si>
    <t>0620742658</t>
  </si>
  <si>
    <t>POAD</t>
  </si>
  <si>
    <t>7633789</t>
  </si>
  <si>
    <t>POIGNIE</t>
  </si>
  <si>
    <t>Adrien</t>
  </si>
  <si>
    <t xml:space="preserve">110 RUE JEAN DE LA VARENDE  </t>
  </si>
  <si>
    <t>adrien.poignie@gmail.com</t>
  </si>
  <si>
    <t>0650013958</t>
  </si>
  <si>
    <t>POBE</t>
  </si>
  <si>
    <t>1424436</t>
  </si>
  <si>
    <t>PONCET</t>
  </si>
  <si>
    <t xml:space="preserve">14 rue raoul dufy  </t>
  </si>
  <si>
    <t>CUVERVILLE</t>
  </si>
  <si>
    <t>poncet.b69@gmail.com</t>
  </si>
  <si>
    <t>POPH</t>
  </si>
  <si>
    <t>14327</t>
  </si>
  <si>
    <t>PORET</t>
  </si>
  <si>
    <t xml:space="preserve">16 rue des Aubepines Lotissement Les Jardins d'Esquay </t>
  </si>
  <si>
    <t>ESQUAY NOTRE DAME</t>
  </si>
  <si>
    <t>veroniquephilippe.poret@sfr.fr</t>
  </si>
  <si>
    <t>0231738051</t>
  </si>
  <si>
    <t>0621535075</t>
  </si>
  <si>
    <t>PRDI</t>
  </si>
  <si>
    <t>143693</t>
  </si>
  <si>
    <t>PRUNIER</t>
  </si>
  <si>
    <t>80 Rue de la Delotiere  Saint germain de Tallevende</t>
  </si>
  <si>
    <t>VIRE NORMANDIE</t>
  </si>
  <si>
    <t>dpruniertt@gmail.com</t>
  </si>
  <si>
    <t>0231670402</t>
  </si>
  <si>
    <t>0686751945</t>
  </si>
  <si>
    <t>QUST</t>
  </si>
  <si>
    <t>615096</t>
  </si>
  <si>
    <t>QUENTIN</t>
  </si>
  <si>
    <t xml:space="preserve">11 lotissement des Vallees  </t>
  </si>
  <si>
    <t>STE HONORINE LA CHARDONNE</t>
  </si>
  <si>
    <t>scll.quentin@orange.fr</t>
  </si>
  <si>
    <t>0233660603</t>
  </si>
  <si>
    <t>0606697506</t>
  </si>
  <si>
    <t>REPA</t>
  </si>
  <si>
    <t>507345</t>
  </si>
  <si>
    <t>RELET</t>
  </si>
  <si>
    <t xml:space="preserve">17 PASSAGE LEJUEZ  </t>
  </si>
  <si>
    <t>reletp@gmail.com</t>
  </si>
  <si>
    <t>0613258890</t>
  </si>
  <si>
    <t>REBE</t>
  </si>
  <si>
    <t>279474</t>
  </si>
  <si>
    <t>REMY</t>
  </si>
  <si>
    <t>Benoist</t>
  </si>
  <si>
    <t xml:space="preserve">91 Rue du Cabriolet  </t>
  </si>
  <si>
    <t>Montigny sur Avre</t>
  </si>
  <si>
    <t>b-remy@live.fr</t>
  </si>
  <si>
    <t>0661819465</t>
  </si>
  <si>
    <t>RELO</t>
  </si>
  <si>
    <t>1421008</t>
  </si>
  <si>
    <t>RENAUD</t>
  </si>
  <si>
    <t>Loick</t>
  </si>
  <si>
    <t xml:space="preserve">74 rue du maréchal foch  </t>
  </si>
  <si>
    <t>livarot</t>
  </si>
  <si>
    <t>renaud-loick@hotmail.fr</t>
  </si>
  <si>
    <t>0638431914</t>
  </si>
  <si>
    <t>09140216</t>
  </si>
  <si>
    <t>FERVAQUES LP</t>
  </si>
  <si>
    <t>RIFR</t>
  </si>
  <si>
    <t>937404</t>
  </si>
  <si>
    <t>RICHARD</t>
  </si>
  <si>
    <t xml:space="preserve">1 Chemin de Dramard  </t>
  </si>
  <si>
    <t>DIVES SUR MER</t>
  </si>
  <si>
    <t>frichard@prodware.fr</t>
  </si>
  <si>
    <t>0680669556</t>
  </si>
  <si>
    <t>RIPA</t>
  </si>
  <si>
    <t>143611</t>
  </si>
  <si>
    <t>RIETTE</t>
  </si>
  <si>
    <t xml:space="preserve">2 Rue du Saint Laurent  </t>
  </si>
  <si>
    <t>HONFLEUR</t>
  </si>
  <si>
    <t>pascal.riette@orange.fr</t>
  </si>
  <si>
    <t>0231895739</t>
  </si>
  <si>
    <t>0771742343</t>
  </si>
  <si>
    <t>3328150</t>
  </si>
  <si>
    <t>ROBERT</t>
  </si>
  <si>
    <t xml:space="preserve">1 square Jean Thieulin  </t>
  </si>
  <si>
    <t>jyjrobert@free.fr</t>
  </si>
  <si>
    <t>0608767696</t>
  </si>
  <si>
    <t>ROMI</t>
  </si>
  <si>
    <t>7638581</t>
  </si>
  <si>
    <t>RODRIGUES</t>
  </si>
  <si>
    <t>Miguel</t>
  </si>
  <si>
    <t xml:space="preserve">14 RUE PASTEUR  </t>
  </si>
  <si>
    <t>cmso.futsal@gmail.com</t>
  </si>
  <si>
    <t>0664291211</t>
  </si>
  <si>
    <t>3523963</t>
  </si>
  <si>
    <t>ROIZIL</t>
  </si>
  <si>
    <t xml:space="preserve">19 rue la Guinchere des Bois  </t>
  </si>
  <si>
    <t>LOUVIGNE DU DESERT</t>
  </si>
  <si>
    <t>fabien.roizil@hotmail.fr</t>
  </si>
  <si>
    <t>0682702694</t>
  </si>
  <si>
    <t>ROPI</t>
  </si>
  <si>
    <t>502994</t>
  </si>
  <si>
    <t>ROUAULT</t>
  </si>
  <si>
    <t>Pierrick</t>
  </si>
  <si>
    <t xml:space="preserve">1 rue du Touraillon  </t>
  </si>
  <si>
    <t>pierrick.rouault@sfr.fr</t>
  </si>
  <si>
    <t>0610373040</t>
  </si>
  <si>
    <t>RODA</t>
  </si>
  <si>
    <t>1423905</t>
  </si>
  <si>
    <t>ROUXEL</t>
  </si>
  <si>
    <t xml:space="preserve">chemin de la fromagerie  </t>
  </si>
  <si>
    <t>LE MESNIL DURAND</t>
  </si>
  <si>
    <t>gwen.david14@orange.fr</t>
  </si>
  <si>
    <t>0675811417</t>
  </si>
  <si>
    <t>ROPA</t>
  </si>
  <si>
    <t>50610</t>
  </si>
  <si>
    <t>ROYER</t>
  </si>
  <si>
    <t xml:space="preserve">5 SQUARE THEOPHILE GAUTIER  </t>
  </si>
  <si>
    <t>BAYEUX</t>
  </si>
  <si>
    <t>patrick_royer@orange.fr</t>
  </si>
  <si>
    <t>0231519616</t>
  </si>
  <si>
    <t>0601771316</t>
  </si>
  <si>
    <t>09140174</t>
  </si>
  <si>
    <t>THAON CREULLY TENNIS DE TABLE</t>
  </si>
  <si>
    <t>RORO</t>
  </si>
  <si>
    <t>615184</t>
  </si>
  <si>
    <t xml:space="preserve">30 rue du Begle  </t>
  </si>
  <si>
    <t>romainroyer_20@hotmail.com</t>
  </si>
  <si>
    <t>0686188667</t>
  </si>
  <si>
    <t>09610107</t>
  </si>
  <si>
    <t>MEDAVY AS</t>
  </si>
  <si>
    <t>RUAN</t>
  </si>
  <si>
    <t>7629848</t>
  </si>
  <si>
    <t>RUBE</t>
  </si>
  <si>
    <t xml:space="preserve">18 C Rue Roger Salengro  </t>
  </si>
  <si>
    <t>antoinerube@orange.fr</t>
  </si>
  <si>
    <t>0235681683</t>
  </si>
  <si>
    <t>0671589020</t>
  </si>
  <si>
    <t>SAEM</t>
  </si>
  <si>
    <t>1419634</t>
  </si>
  <si>
    <t>SALMON</t>
  </si>
  <si>
    <t xml:space="preserve">1 Rue du Bosq du Fay  </t>
  </si>
  <si>
    <t>STE HONORINE DU FAY</t>
  </si>
  <si>
    <t>manusalmon@orange.fr</t>
  </si>
  <si>
    <t>0678546774</t>
  </si>
  <si>
    <t>SACA</t>
  </si>
  <si>
    <t>7623339</t>
  </si>
  <si>
    <t>SAMSON</t>
  </si>
  <si>
    <t>Catherine</t>
  </si>
  <si>
    <t xml:space="preserve">116 Route de Gaillefontaine  </t>
  </si>
  <si>
    <t>POMMEREUX</t>
  </si>
  <si>
    <t>catherinesamson76@outlook.fr</t>
  </si>
  <si>
    <t>0235906379</t>
  </si>
  <si>
    <t>0676870251</t>
  </si>
  <si>
    <t>09760070</t>
  </si>
  <si>
    <t>RAQUETTE NEUFCHATELOISE</t>
  </si>
  <si>
    <t>SECH</t>
  </si>
  <si>
    <t>7610823</t>
  </si>
  <si>
    <t>SERE</t>
  </si>
  <si>
    <t xml:space="preserve">32 Rue Malherbe  </t>
  </si>
  <si>
    <t>serechristophe@sfr.fr</t>
  </si>
  <si>
    <t>0681167365</t>
  </si>
  <si>
    <t>SIPA</t>
  </si>
  <si>
    <t>27846</t>
  </si>
  <si>
    <t>SIMON</t>
  </si>
  <si>
    <t xml:space="preserve">2 RUE DU 8 MAI  </t>
  </si>
  <si>
    <t>IGOVILLE</t>
  </si>
  <si>
    <t>pascal.simon@se.com</t>
  </si>
  <si>
    <t>0683838413</t>
  </si>
  <si>
    <t>09270063</t>
  </si>
  <si>
    <t>TT DE L ARCHE</t>
  </si>
  <si>
    <t>SIMI</t>
  </si>
  <si>
    <t>1412235</t>
  </si>
  <si>
    <t>SIMONIN</t>
  </si>
  <si>
    <t xml:space="preserve">16 Rue des Tilleuls  </t>
  </si>
  <si>
    <t>ESCOVILLE</t>
  </si>
  <si>
    <t>simonin-michel@orange.fr</t>
  </si>
  <si>
    <t>0231788487</t>
  </si>
  <si>
    <t>0684292364</t>
  </si>
  <si>
    <t>SUAN</t>
  </si>
  <si>
    <t>766895</t>
  </si>
  <si>
    <t>SUDRON</t>
  </si>
  <si>
    <t>Annie</t>
  </si>
  <si>
    <t xml:space="preserve">236 Rue de la Herangere  </t>
  </si>
  <si>
    <t>annie.sudron@orange.fr</t>
  </si>
  <si>
    <t>0235815962</t>
  </si>
  <si>
    <t>0615540959</t>
  </si>
  <si>
    <t>SUJI</t>
  </si>
  <si>
    <t>273359</t>
  </si>
  <si>
    <t>SUZANNE</t>
  </si>
  <si>
    <t>Jimmy</t>
  </si>
  <si>
    <t xml:space="preserve">Hameau de Clery 2 Impasse du Muret </t>
  </si>
  <si>
    <t>spnvernon27tt@gmail.com</t>
  </si>
  <si>
    <t>02 32 21 18 06</t>
  </si>
  <si>
    <t>0680898417</t>
  </si>
  <si>
    <t>09270041</t>
  </si>
  <si>
    <t>STADE PORTE NORMANDE VERNON</t>
  </si>
  <si>
    <t>TADI</t>
  </si>
  <si>
    <t>1424335</t>
  </si>
  <si>
    <t>TANEV</t>
  </si>
  <si>
    <t>Dinko</t>
  </si>
  <si>
    <t xml:space="preserve">5 Rue Le Notre  </t>
  </si>
  <si>
    <t>ddtanev@gmail.com</t>
  </si>
  <si>
    <t>0685092561</t>
  </si>
  <si>
    <t>TELA</t>
  </si>
  <si>
    <t>5022827</t>
  </si>
  <si>
    <t>TEURTERIE</t>
  </si>
  <si>
    <t xml:space="preserve">38 Rue D'antrain  </t>
  </si>
  <si>
    <t>Saint-James</t>
  </si>
  <si>
    <t>teurterie.pascal@bbox.fr</t>
  </si>
  <si>
    <t>0662620372</t>
  </si>
  <si>
    <t>TEPA</t>
  </si>
  <si>
    <t>508936</t>
  </si>
  <si>
    <t xml:space="preserve">38 rue  d Antrain  </t>
  </si>
  <si>
    <t>0233587648</t>
  </si>
  <si>
    <t>0672725158</t>
  </si>
  <si>
    <t>THTH</t>
  </si>
  <si>
    <t>5017524</t>
  </si>
  <si>
    <t>THEBAUT</t>
  </si>
  <si>
    <t>7, allee des Rochers  Querqueville</t>
  </si>
  <si>
    <t>Cherbourg en Cotentin</t>
  </si>
  <si>
    <t>thebauthierry@gmail.com</t>
  </si>
  <si>
    <t>0233780492</t>
  </si>
  <si>
    <t>0767384052</t>
  </si>
  <si>
    <t>TLDA</t>
  </si>
  <si>
    <t>7640450</t>
  </si>
  <si>
    <t>TLUSTEK</t>
  </si>
  <si>
    <t xml:space="preserve">10 Route de Bosc Roger  </t>
  </si>
  <si>
    <t>BOSC EDELINE</t>
  </si>
  <si>
    <t>dtk76750@gmail.com</t>
  </si>
  <si>
    <t>0659566861</t>
  </si>
  <si>
    <t>09760201</t>
  </si>
  <si>
    <t>CP BUCHY</t>
  </si>
  <si>
    <t>TOPH</t>
  </si>
  <si>
    <t>2719716</t>
  </si>
  <si>
    <t>TOKARSKI</t>
  </si>
  <si>
    <t xml:space="preserve">3 RUE DU CHALET  </t>
  </si>
  <si>
    <t>SAUSSAY</t>
  </si>
  <si>
    <t>tokarskiphilippe28@gmail.com</t>
  </si>
  <si>
    <t>0951155720</t>
  </si>
  <si>
    <t>0671464786</t>
  </si>
  <si>
    <t>TRAN</t>
  </si>
  <si>
    <t>507696</t>
  </si>
  <si>
    <t>TRAVES</t>
  </si>
  <si>
    <t xml:space="preserve">Hameau des Damiens  </t>
  </si>
  <si>
    <t>EROUDEVILLE</t>
  </si>
  <si>
    <t>raidingviking@wanadoo.fr</t>
  </si>
  <si>
    <t>0233215172</t>
  </si>
  <si>
    <t>0601818473</t>
  </si>
  <si>
    <t>TRFR</t>
  </si>
  <si>
    <t>7618085</t>
  </si>
  <si>
    <t>TRECOURT</t>
  </si>
  <si>
    <t xml:space="preserve">19 SQUARE COLETTE YVER  </t>
  </si>
  <si>
    <t>francois.trecourt73@gmail.com</t>
  </si>
  <si>
    <t>0688924104</t>
  </si>
  <si>
    <t>7645156</t>
  </si>
  <si>
    <t>VALET</t>
  </si>
  <si>
    <t xml:space="preserve">22, Rue du Parc  </t>
  </si>
  <si>
    <t>MALAUNAY</t>
  </si>
  <si>
    <t>domivalet@hotmail.com</t>
  </si>
  <si>
    <t>0235325679</t>
  </si>
  <si>
    <t>0674708412</t>
  </si>
  <si>
    <t>09760315</t>
  </si>
  <si>
    <t>AMFTT</t>
  </si>
  <si>
    <t>VAMA</t>
  </si>
  <si>
    <t>7631648</t>
  </si>
  <si>
    <t>VANDERHAEGHE</t>
  </si>
  <si>
    <t>Mathieu</t>
  </si>
  <si>
    <t xml:space="preserve">1 B Rue Jean Dominique Ingres Résidence Delacroix Appt 1 </t>
  </si>
  <si>
    <t>Pavilly</t>
  </si>
  <si>
    <t>mathieu.vanderhaeghe.tt@gmail.com</t>
  </si>
  <si>
    <t>0777052928</t>
  </si>
  <si>
    <t>VAJU</t>
  </si>
  <si>
    <t>7637639</t>
  </si>
  <si>
    <t>VARELA</t>
  </si>
  <si>
    <t xml:space="preserve">140 RUE DU MESNIL  </t>
  </si>
  <si>
    <t>MESNIL RAOUL</t>
  </si>
  <si>
    <t>julien-varela@laposte.net</t>
  </si>
  <si>
    <t>0954767574</t>
  </si>
  <si>
    <t>0688934015</t>
  </si>
  <si>
    <t>VAAG</t>
  </si>
  <si>
    <t>509792</t>
  </si>
  <si>
    <t>VASSE</t>
  </si>
  <si>
    <t>Agnes</t>
  </si>
  <si>
    <t xml:space="preserve">203 rue des hirondelles  </t>
  </si>
  <si>
    <t>Saint-Lô</t>
  </si>
  <si>
    <t>agnes.vasse@orange.fr</t>
  </si>
  <si>
    <t>0233564204</t>
  </si>
  <si>
    <t>0676083584</t>
  </si>
  <si>
    <t>VAAN</t>
  </si>
  <si>
    <t>50837</t>
  </si>
  <si>
    <t>VAUTIER</t>
  </si>
  <si>
    <t xml:space="preserve">24 RUE BOUILLON  </t>
  </si>
  <si>
    <t>vautier.antoine@sfr.fr</t>
  </si>
  <si>
    <t>0640115640</t>
  </si>
  <si>
    <t>VACH</t>
  </si>
  <si>
    <t>50836</t>
  </si>
  <si>
    <t xml:space="preserve">8 La Bruyere du Chemin  </t>
  </si>
  <si>
    <t>ST BARTHELEMY</t>
  </si>
  <si>
    <t>christian.vautier2@gmail.com</t>
  </si>
  <si>
    <t>0250269809</t>
  </si>
  <si>
    <t>0606429514</t>
  </si>
  <si>
    <t>7849772</t>
  </si>
  <si>
    <t>Erwan</t>
  </si>
  <si>
    <t xml:space="preserve">9 Rue Aux Fromages  </t>
  </si>
  <si>
    <t>Caen</t>
  </si>
  <si>
    <t>erwan.vautier14@gmail.com</t>
  </si>
  <si>
    <t>VAME</t>
  </si>
  <si>
    <t>505324</t>
  </si>
  <si>
    <t>0789581413</t>
  </si>
  <si>
    <t>VASÉ</t>
  </si>
  <si>
    <t>2713843</t>
  </si>
  <si>
    <t>VAZARD</t>
  </si>
  <si>
    <t>Sébastien</t>
  </si>
  <si>
    <t xml:space="preserve">32 rue paul Cézanne  </t>
  </si>
  <si>
    <t>Gravigny</t>
  </si>
  <si>
    <t>vazou69@hotmail.fr</t>
  </si>
  <si>
    <t>0232379195</t>
  </si>
  <si>
    <t>0621299401</t>
  </si>
  <si>
    <t>09270139</t>
  </si>
  <si>
    <t>US GRAVIGNY TT</t>
  </si>
  <si>
    <t>VIDA</t>
  </si>
  <si>
    <t>7636345</t>
  </si>
  <si>
    <t>VILLY</t>
  </si>
  <si>
    <t xml:space="preserve">18 rue des prevoyants  </t>
  </si>
  <si>
    <t>davidvilly@sfr.fr</t>
  </si>
  <si>
    <t>0235679352</t>
  </si>
  <si>
    <t>0662549352</t>
  </si>
  <si>
    <t>VOAR</t>
  </si>
  <si>
    <t>1416635</t>
  </si>
  <si>
    <t>VOISIN</t>
  </si>
  <si>
    <t xml:space="preserve">6 impasse de la belle aire  </t>
  </si>
  <si>
    <t>arnaudvoisin1977@gmail.com</t>
  </si>
  <si>
    <t>0616343859</t>
  </si>
  <si>
    <t>YRAN</t>
  </si>
  <si>
    <t>5016053</t>
  </si>
  <si>
    <t>YREUX</t>
  </si>
  <si>
    <t xml:space="preserve">14 RUE MONTGOMERY LE VAL D OIR </t>
  </si>
  <si>
    <t>ST QUENTIN SUR LE HOMME</t>
  </si>
  <si>
    <t>antoine.yreux@ficud.org</t>
  </si>
  <si>
    <t>0755538679</t>
  </si>
  <si>
    <t>09500059</t>
  </si>
  <si>
    <t>Avenir TT DUCEY AVRANCHES</t>
  </si>
  <si>
    <t>YVNA</t>
  </si>
  <si>
    <t>1422392</t>
  </si>
  <si>
    <t>YVON</t>
  </si>
  <si>
    <t>Nathan</t>
  </si>
  <si>
    <t xml:space="preserve">13 rue de l'Ontario  </t>
  </si>
  <si>
    <t>IFS</t>
  </si>
  <si>
    <t>nathan_yvon@msn.com</t>
  </si>
  <si>
    <t>0666626101</t>
  </si>
  <si>
    <t>ZIAD</t>
  </si>
  <si>
    <t>6023753</t>
  </si>
  <si>
    <t>ZIANI</t>
  </si>
  <si>
    <t>Adam</t>
  </si>
  <si>
    <t xml:space="preserve">2 rue de l'eglise  </t>
  </si>
  <si>
    <t>CHAUMONT EN VEXIN</t>
  </si>
  <si>
    <t>sarah.fermi@hotmail.fr</t>
  </si>
  <si>
    <t>0650468614</t>
  </si>
  <si>
    <t>ZYCH</t>
  </si>
  <si>
    <t>1310651</t>
  </si>
  <si>
    <t>ZYGMUNT</t>
  </si>
  <si>
    <t xml:space="preserve">2 impasse de l'Ormelet  </t>
  </si>
  <si>
    <t>SAINT AUBIN D'ARQUENAY</t>
  </si>
  <si>
    <t>zkryses@orange.fr</t>
  </si>
  <si>
    <t>0689833677</t>
  </si>
  <si>
    <t>num_rencontre</t>
  </si>
  <si>
    <t>jour_semaine</t>
  </si>
  <si>
    <t>Date_rencontre</t>
  </si>
  <si>
    <t>Heure</t>
  </si>
  <si>
    <t>JA à nommer</t>
  </si>
  <si>
    <t>Genre</t>
  </si>
  <si>
    <t>Secteur</t>
  </si>
  <si>
    <t>Division</t>
  </si>
  <si>
    <t>Poule</t>
  </si>
  <si>
    <t>Phase</t>
  </si>
  <si>
    <t>rang</t>
  </si>
  <si>
    <t>jour</t>
  </si>
  <si>
    <t>Num_club</t>
  </si>
  <si>
    <t>Equipe 1</t>
  </si>
  <si>
    <t>Equipe 2</t>
  </si>
  <si>
    <t>Dep</t>
  </si>
  <si>
    <t>Code_JA</t>
  </si>
  <si>
    <t>prest</t>
  </si>
  <si>
    <t>Peages</t>
  </si>
  <si>
    <t>KM_JA</t>
  </si>
  <si>
    <t>Frais_JA</t>
  </si>
  <si>
    <t>Samedi</t>
  </si>
  <si>
    <t>16H00</t>
  </si>
  <si>
    <t>M</t>
  </si>
  <si>
    <t>F</t>
  </si>
  <si>
    <t>N2</t>
  </si>
  <si>
    <t>Journée 1</t>
  </si>
  <si>
    <t>SAINT PAIR BRICQUEVILLE 1</t>
  </si>
  <si>
    <t>IGNY AP 1</t>
  </si>
  <si>
    <t>N3</t>
  </si>
  <si>
    <t>SAINT JAMES TT 1</t>
  </si>
  <si>
    <t>ANGERS LES LOUPS TT 3</t>
  </si>
  <si>
    <t/>
  </si>
  <si>
    <t>PANA LOISIRS 1</t>
  </si>
  <si>
    <t>N</t>
  </si>
  <si>
    <t>PN</t>
  </si>
  <si>
    <t>ALCL GRAND QUEVILLY 3</t>
  </si>
  <si>
    <t>R1</t>
  </si>
  <si>
    <t>ATT HAVRE 3</t>
  </si>
  <si>
    <t>ARGENTAN BAYARD 2</t>
  </si>
  <si>
    <t>FLERIEN TT 2</t>
  </si>
  <si>
    <t>OUISTREHAM AP 3</t>
  </si>
  <si>
    <t>CAEN TTC 3</t>
  </si>
  <si>
    <t>ST GERMAIN DU CORBEIS 1</t>
  </si>
  <si>
    <t>SPO ROUEN 4</t>
  </si>
  <si>
    <t>SAINT PAIR BRICQUEVILLE TT 2</t>
  </si>
  <si>
    <t>14-50-61</t>
  </si>
  <si>
    <t>FLEURY S/O CSP 1</t>
  </si>
  <si>
    <t>OC AGNEAUX  1</t>
  </si>
  <si>
    <t>C HONFLEURAIS TT 1</t>
  </si>
  <si>
    <t>COUTANCES JA 1</t>
  </si>
  <si>
    <t>ALENCON ETOILE 2</t>
  </si>
  <si>
    <t>AS CORMELLES TT 1</t>
  </si>
  <si>
    <t>EQUEURDREVILLE 1</t>
  </si>
  <si>
    <t>SAINT PAIR BRICQUEVILLE TT 3</t>
  </si>
  <si>
    <t>FLEURY S/O CSP 2</t>
  </si>
  <si>
    <t>FLERIEN TT 3</t>
  </si>
  <si>
    <t>SAINT JAMES TT 2</t>
  </si>
  <si>
    <t>CAEN TTC 4</t>
  </si>
  <si>
    <t>ST HILAIRE/PARIGNY 1</t>
  </si>
  <si>
    <t>SAINT LO PL 1</t>
  </si>
  <si>
    <t>R2</t>
  </si>
  <si>
    <t>CHERBOURG US 1</t>
  </si>
  <si>
    <t>LISIEUX ASTT 1</t>
  </si>
  <si>
    <t>CAENNAISE AG 3</t>
  </si>
  <si>
    <t>LES PIEUX TT 1</t>
  </si>
  <si>
    <t>COUTANCES JA 2</t>
  </si>
  <si>
    <t>MORTAIN ENT 1</t>
  </si>
  <si>
    <t>OUISTREHAM AP 4</t>
  </si>
  <si>
    <t>CHERBOURG ASTT 1</t>
  </si>
  <si>
    <t>CAENNAISE AG 2</t>
  </si>
  <si>
    <t>PSJ TINCHEBRAY 1</t>
  </si>
  <si>
    <t>ST HILAIRE/PARIGNY 2</t>
  </si>
  <si>
    <t>ST JEAN CHAMPS 1</t>
  </si>
  <si>
    <t>ATHIS CTT 1</t>
  </si>
  <si>
    <t>BAYEUX TT 1</t>
  </si>
  <si>
    <t>CAEN TTC 5</t>
  </si>
  <si>
    <t>FALAISE ES (1)</t>
  </si>
  <si>
    <t>ASSUN TT 1</t>
  </si>
  <si>
    <t>SAINT PAIR BRICQUEVILLE TT 4</t>
  </si>
  <si>
    <t>R3</t>
  </si>
  <si>
    <t>ISIGNY-MONTIGNY 1</t>
  </si>
  <si>
    <t>FERVAQUES LP 1</t>
  </si>
  <si>
    <t>C HONFLEURAISTT 2</t>
  </si>
  <si>
    <t>CABOURG TT 2</t>
  </si>
  <si>
    <t>FRENOUVILLE TT 1</t>
  </si>
  <si>
    <t>SAINT LO PL 2</t>
  </si>
  <si>
    <t>CONDE/ SLSN 1</t>
  </si>
  <si>
    <t>EQUEURDREVILLE 2</t>
  </si>
  <si>
    <t>AS CORMELLES TT 3</t>
  </si>
  <si>
    <t>CARANTILLAISE 1</t>
  </si>
  <si>
    <t>ALENCON ETOILE 4</t>
  </si>
  <si>
    <t>ACATT 2</t>
  </si>
  <si>
    <t>ST ANDRE/ORNE USSA 1</t>
  </si>
  <si>
    <t>TORIGNAISE ESTT 1</t>
  </si>
  <si>
    <t>CHERBOURG US 2</t>
  </si>
  <si>
    <t>OC AGNEAUX  2</t>
  </si>
  <si>
    <t>CAENNAISE AG 4</t>
  </si>
  <si>
    <t>FEUILLIE CREANCES 1</t>
  </si>
  <si>
    <t>ALENCON ETOILE 3</t>
  </si>
  <si>
    <t>VIROISE USM 1</t>
  </si>
  <si>
    <t>MORTAGNE USTT 1</t>
  </si>
  <si>
    <t>FLEURY S/O CSP 3</t>
  </si>
  <si>
    <t>TROARN TT 1</t>
  </si>
  <si>
    <t>BAYEUX TT 2</t>
  </si>
  <si>
    <t>TOURVILLE ASLO 2</t>
  </si>
  <si>
    <t>DONVILLE USM 1</t>
  </si>
  <si>
    <t>COUTANCES JA 3</t>
  </si>
  <si>
    <t>ST OUEN S/ITON 1</t>
  </si>
  <si>
    <t>ASSUN TT 2</t>
  </si>
  <si>
    <t>QUERQUEVILLE AS 1</t>
  </si>
  <si>
    <t>R4</t>
  </si>
  <si>
    <t>ATHIS CTT 2</t>
  </si>
  <si>
    <t>ST HILAIRE/PARIGNY 3</t>
  </si>
  <si>
    <t>VILLERS BOCAGE  2</t>
  </si>
  <si>
    <t xml:space="preserve"> AG DEAUVILLE /PONT L EVEQUE 1</t>
  </si>
  <si>
    <t>FLERIEN TT 4</t>
  </si>
  <si>
    <t>SAINT PAIR BRICQUEVILLE TT  5</t>
  </si>
  <si>
    <t>MORTAIN ENT 2</t>
  </si>
  <si>
    <t>MONTEBOURG SAEL 1</t>
  </si>
  <si>
    <t>MONDEVILLE TT 2</t>
  </si>
  <si>
    <t xml:space="preserve">LA FERTE FRENEL SPOTT 1 </t>
  </si>
  <si>
    <t>ST PIERRE DU RE 1</t>
  </si>
  <si>
    <t>QUERQUEVILLE AS 2</t>
  </si>
  <si>
    <t xml:space="preserve"> 	LA GLACERIE US  1</t>
  </si>
  <si>
    <t>ST ANDRE/O USSA 2</t>
  </si>
  <si>
    <t>AS CORMELLES TT 5</t>
  </si>
  <si>
    <t>ST GERMAIN DU CORBEIS 3</t>
  </si>
  <si>
    <t xml:space="preserve"> FLERS TT 5</t>
  </si>
  <si>
    <t>CARENTANAIS CL 1</t>
  </si>
  <si>
    <t>CONDE/ SLSN 2</t>
  </si>
  <si>
    <t>CHERBOURG ASTT 2</t>
  </si>
  <si>
    <t>AS CORMELLES TT 4</t>
  </si>
  <si>
    <t xml:space="preserve">LA FERTE MACE ALTT 1 </t>
  </si>
  <si>
    <t>VILLERS BOCAGE  1</t>
  </si>
  <si>
    <t>SAINT JAMES TT 5</t>
  </si>
  <si>
    <t>BRICQUEBEC UC  1</t>
  </si>
  <si>
    <t>CHERBOURG US  3</t>
  </si>
  <si>
    <t>Dimanche</t>
  </si>
  <si>
    <t>14H00</t>
  </si>
  <si>
    <t>ST PIERRE EGLISE 1</t>
  </si>
  <si>
    <t>ACATT 1</t>
  </si>
  <si>
    <t>ARGENTAN BAYARD 4</t>
  </si>
  <si>
    <t>OUISTREHAM AP 5</t>
  </si>
  <si>
    <t>ARGENTAN BAYARD 3</t>
  </si>
  <si>
    <t>AS CORMELLES TT 2</t>
  </si>
  <si>
    <t>SAINT JAMES TT 3</t>
  </si>
  <si>
    <t>ST GERMAIN DU CORBEIS 2</t>
  </si>
  <si>
    <t>ARGENTAN BAYARD 5</t>
  </si>
  <si>
    <t>ATT DUCEY AVRANCHES 1</t>
  </si>
  <si>
    <t>SAINT JAMES TT 4</t>
  </si>
  <si>
    <t>LISIEUX ASTT 2</t>
  </si>
  <si>
    <t>OUISTREHAM AP 6</t>
  </si>
  <si>
    <t>EQUEURDREVILLE 3</t>
  </si>
  <si>
    <t>ST PIERRE EGLIS 2</t>
  </si>
  <si>
    <t>ATT DUCEY AVRANCHES 2</t>
  </si>
  <si>
    <t>AA COURONNE 1</t>
  </si>
  <si>
    <t>FRANQUEVILLE ST 1</t>
  </si>
  <si>
    <t>AS HONG LANDIN 2</t>
  </si>
  <si>
    <t>PAVILLY CP 1</t>
  </si>
  <si>
    <t>MT ST AIGNAN TT 1</t>
  </si>
  <si>
    <t>CP QUEVILLAIS 4</t>
  </si>
  <si>
    <t>US C BOIS GUILLAUME 3</t>
  </si>
  <si>
    <t>CP YVETOT 1</t>
  </si>
  <si>
    <t>SPO ROUEN 7</t>
  </si>
  <si>
    <t>CS AUFFAY 1</t>
  </si>
  <si>
    <t>U S ETREPAGNY T 1</t>
  </si>
  <si>
    <t>U S FECAMPOISE 1</t>
  </si>
  <si>
    <t>LE TRAIT YAINVILLE 1</t>
  </si>
  <si>
    <t>ASC BONSECOURS 1</t>
  </si>
  <si>
    <t>US GRAVIGNY TT 2</t>
  </si>
  <si>
    <t>SAINT MARCEL TT 1</t>
  </si>
  <si>
    <t>SAINT PIERRAISE ENT 4</t>
  </si>
  <si>
    <t>09760374</t>
  </si>
  <si>
    <t>FR ISNEAUVILLE 1</t>
  </si>
  <si>
    <t>CAPA TT 1</t>
  </si>
  <si>
    <t>TT DE L ARCHE 2</t>
  </si>
  <si>
    <t>EVREUX EC 2</t>
  </si>
  <si>
    <t>09270104</t>
  </si>
  <si>
    <t>PPC HONDOUVILLE 1</t>
  </si>
  <si>
    <t>09760012</t>
  </si>
  <si>
    <t>RACING CLUB PORT HAVRE 1</t>
  </si>
  <si>
    <t>S SOTTEVILLAIS 1</t>
  </si>
  <si>
    <t>CEP ST NICOLAS 2</t>
  </si>
  <si>
    <t>09270162</t>
  </si>
  <si>
    <t>VAL DE REUIL TT 1</t>
  </si>
  <si>
    <t>09760157</t>
  </si>
  <si>
    <t>E. GISORS TT 1</t>
  </si>
  <si>
    <t>BRETTEVILLE DU 1</t>
  </si>
  <si>
    <t>09270156</t>
  </si>
  <si>
    <t>E BOOS MTT 1</t>
  </si>
  <si>
    <t>09760218</t>
  </si>
  <si>
    <t>GRD COURONNE TT 1</t>
  </si>
  <si>
    <t>09760082</t>
  </si>
  <si>
    <t>CE CHEVRON SPORT 1</t>
  </si>
  <si>
    <t>CP GRANDCAMP 1</t>
  </si>
  <si>
    <t>AS MOTTEVILLE 1</t>
  </si>
  <si>
    <t>09760417</t>
  </si>
  <si>
    <t>Journée 2</t>
  </si>
  <si>
    <t>09610142</t>
  </si>
  <si>
    <t>COUTANCES JA-SAINT-PAIR ENT 1</t>
  </si>
  <si>
    <t>LILLE METROPOLE TT 1</t>
  </si>
  <si>
    <t>09610077</t>
  </si>
  <si>
    <t>09270005</t>
  </si>
  <si>
    <t>09760291</t>
  </si>
  <si>
    <t>09760420</t>
  </si>
  <si>
    <t>09270087</t>
  </si>
  <si>
    <t>09760333</t>
  </si>
  <si>
    <t>09760396</t>
  </si>
  <si>
    <t>Journée 3</t>
  </si>
  <si>
    <t>FUTURO VALVERT TT 1</t>
  </si>
  <si>
    <t>Journée 4</t>
  </si>
  <si>
    <t xml:space="preserve">BOULOGNE BILLANCOURT AC 2 </t>
  </si>
  <si>
    <t>Journée 5</t>
  </si>
  <si>
    <t>SAINT ANDRE-MARCQ ENT 1</t>
  </si>
  <si>
    <t>LOGNES EP 2</t>
  </si>
  <si>
    <t>Journée 6</t>
  </si>
  <si>
    <t xml:space="preserve">VILLERS LES NANCY COS 1 </t>
  </si>
  <si>
    <t>Journée 7</t>
  </si>
  <si>
    <t>BETHUNE ASTT 2</t>
  </si>
  <si>
    <t>Rencontre N°</t>
  </si>
  <si>
    <t>FEDERATION FRANÇAISE</t>
  </si>
  <si>
    <t>CTRL+P pour imprimer la convocation en PDF</t>
  </si>
  <si>
    <t>DE TENNIS DE TABLE</t>
  </si>
  <si>
    <t>nom de la convocation a envoyer</t>
  </si>
  <si>
    <t>JA nommé</t>
  </si>
  <si>
    <t>Correspondant de club</t>
  </si>
  <si>
    <t>3, rue Dieudonné Costes - BP 40348</t>
  </si>
  <si>
    <t>ARB 2.4</t>
  </si>
  <si>
    <t>envoyer à</t>
  </si>
  <si>
    <t>75625  PARIS  Cedex 13</t>
  </si>
  <si>
    <t>Tél : 01 53 94 50 00</t>
  </si>
  <si>
    <t>N° de rencontre</t>
  </si>
  <si>
    <t>DATE</t>
  </si>
  <si>
    <t>HEURE</t>
  </si>
  <si>
    <t>Div</t>
  </si>
  <si>
    <t>N° Journée</t>
  </si>
  <si>
    <t>EQUIPE 1</t>
  </si>
  <si>
    <t>EQUIPE 2</t>
  </si>
  <si>
    <t>CONVOCATION</t>
  </si>
  <si>
    <t>NOM du JUGE ARBITRE :</t>
  </si>
  <si>
    <t>N° de licence :</t>
  </si>
  <si>
    <t>ASSOCIATION :</t>
  </si>
  <si>
    <t>LIGUE :</t>
  </si>
  <si>
    <t>NORMANDIE</t>
  </si>
  <si>
    <t xml:space="preserve">J'ai l'avantage de vous informer que vous êtes désigné(e) pour diriger la rencontre suivante du </t>
  </si>
  <si>
    <t xml:space="preserve"> CHAMPIONNAT DE FRANCE  PAR EQUIPES (Masculin , Feminin)</t>
  </si>
  <si>
    <r>
      <rPr>
        <b/>
        <sz val="8"/>
        <rFont val="Times New Roman"/>
        <family val="1"/>
      </rPr>
      <t>Journée</t>
    </r>
    <r>
      <rPr>
        <sz val="8"/>
        <rFont val="Times New Roman"/>
        <family val="1"/>
      </rPr>
      <t xml:space="preserve"> n° </t>
    </r>
  </si>
  <si>
    <r>
      <rPr>
        <b/>
        <sz val="8"/>
        <rFont val="Times New Roman"/>
        <family val="1"/>
      </rPr>
      <t>Division :</t>
    </r>
    <r>
      <rPr>
        <sz val="8"/>
        <rFont val="Times New Roman"/>
        <family val="1"/>
      </rPr>
      <t xml:space="preserve"> </t>
    </r>
  </si>
  <si>
    <t xml:space="preserve">Poule : </t>
  </si>
  <si>
    <t>Opposant</t>
  </si>
  <si>
    <t>à</t>
  </si>
  <si>
    <t xml:space="preserve">le </t>
  </si>
  <si>
    <t>LIEU :</t>
  </si>
  <si>
    <t>ADRESSE DE LA SALLE :</t>
  </si>
  <si>
    <t>NOM - PRENOM et ADRESSE du CORRESPONDANT du CLUB RECEVANT</t>
  </si>
  <si>
    <t>Tel :</t>
  </si>
  <si>
    <t>INDEMNITE FIXE</t>
  </si>
  <si>
    <t>PEAGES</t>
  </si>
  <si>
    <t>DEPLACEMENT</t>
  </si>
  <si>
    <t>TOTAL</t>
  </si>
  <si>
    <t>+</t>
  </si>
  <si>
    <t>kms</t>
  </si>
  <si>
    <t xml:space="preserve">        * 0,30 €             =</t>
  </si>
  <si>
    <t>Veuillez agréer mes meilleurs sentiments.</t>
  </si>
  <si>
    <t>Pour le Président de la Commission</t>
  </si>
  <si>
    <t>Régionale d'Arbitrage</t>
  </si>
  <si>
    <t>Cette convocation est à renvoyer à votre responsable des nominations dans un délai de 5 jours,.</t>
  </si>
  <si>
    <t>Vos indemnités de juge-arbitrage vous seront payées en fin de phase directement par la ligue.</t>
  </si>
  <si>
    <t>Pensez à transmettre un RIB à la ligue.</t>
  </si>
  <si>
    <t>N° Club</t>
  </si>
  <si>
    <t>nom_prenom_corres</t>
  </si>
  <si>
    <t>tel_corres</t>
  </si>
  <si>
    <t>mail_corres</t>
  </si>
  <si>
    <t>ADRESSE SALLE</t>
  </si>
  <si>
    <t>Thierry JEHANNE</t>
  </si>
  <si>
    <t>0656899248</t>
  </si>
  <si>
    <t>thierryjehanne@orange.fr</t>
  </si>
  <si>
    <t>AG CAENNAISE 6 Rue du Petit Clos St Marc La Folie Couvrechef 14000 CAEN</t>
  </si>
  <si>
    <t>Stephanie DOLLEY</t>
  </si>
  <si>
    <t>0632479942</t>
  </si>
  <si>
    <t>agd.deauville@club-internet.fr</t>
  </si>
  <si>
    <t>POM'S Boulevard des Sports 14800 DEAUVILLE</t>
  </si>
  <si>
    <t>Didier GILLES</t>
  </si>
  <si>
    <t>0603657738</t>
  </si>
  <si>
    <t>cabourgtennisdetable@gmail.com</t>
  </si>
  <si>
    <t>Specifique TENNIS DE TABLE Avenue de la Divette 14390 CABOURG</t>
  </si>
  <si>
    <t>Eric LEMONCHOIS</t>
  </si>
  <si>
    <t>Salle Spécifique Jean Jalley Rue des Pres Guilet 14110 CONDE SUR NOIREAU</t>
  </si>
  <si>
    <t>Yves LOEFFLER</t>
  </si>
  <si>
    <t>0644031623</t>
  </si>
  <si>
    <t>lyve2008@hotmail.fr</t>
  </si>
  <si>
    <t>COMPLEXE EINDHOVEN 14400 BAYEUX</t>
  </si>
  <si>
    <t>Didier PRUNIER</t>
  </si>
  <si>
    <t>Salle de Tennis de Table Rue des Noes Davy 14500 VIRE</t>
  </si>
  <si>
    <t>lombart.jerome@wanadoo.fr</t>
  </si>
  <si>
    <t>Gymnase Alain Mimoun Rue St Hippolyte 14100 LISIEUX</t>
  </si>
  <si>
    <t>Tennis de Table TROARN</t>
  </si>
  <si>
    <t>tennisdetable.troarn@gmail.com</t>
  </si>
  <si>
    <t>TROARN TT 44, Rue de l'Ancienne Gare 14670 TROARN</t>
  </si>
  <si>
    <t>Arnaud LHOMME</t>
  </si>
  <si>
    <t>GYMNASE EVEN- Rue Gustave Flaubert- A côté du collège- 14130 PONT L'EVEQUE</t>
  </si>
  <si>
    <t>Remy VIRAY</t>
  </si>
  <si>
    <t>0648227006</t>
  </si>
  <si>
    <t>remyviray@live.fr</t>
  </si>
  <si>
    <t>Salle Georges CAVELIER 46 Avenue de la Redoute 14150 OUISTREHAM</t>
  </si>
  <si>
    <t>Rachel LECARDONNEL</t>
  </si>
  <si>
    <t>0682433827</t>
  </si>
  <si>
    <t>rachel.lecardonnel@gmail.com</t>
  </si>
  <si>
    <t>Salle Omni. Paul RAPHAEL Rue Marechal FOCH 14630 FRENOUVILLE</t>
  </si>
  <si>
    <t>Eric LECLERE</t>
  </si>
  <si>
    <t>Salle TT - COSEC Rue Leon Leclerc 14600 HONFLEUR</t>
  </si>
  <si>
    <t>Pascal LE BONHOMME</t>
  </si>
  <si>
    <t>COMPLEXE SPORTIF DIDIER BIANCO Rue du Champ St Georges 14700 FALAISE</t>
  </si>
  <si>
    <t>Yohann NOGRE</t>
  </si>
  <si>
    <t>0684435539</t>
  </si>
  <si>
    <t>mnogre@hotmail.fr</t>
  </si>
  <si>
    <t>USSA ST ANDRE/ORNE Professeur Gombault 14320 ST ANDRE SUR ORNE</t>
  </si>
  <si>
    <t>GYMNASE- Rue Saint Martin- 14230 VILLERS BOCAGE</t>
  </si>
  <si>
    <t>Karl LETHARD</t>
  </si>
  <si>
    <t>Salle Marius TRIOLET - Gymnase Rue Francois Mitterand 14123 FLEURY SUR ORNE</t>
  </si>
  <si>
    <t>Gisele TIPHAIGNE</t>
  </si>
  <si>
    <t>0699696230</t>
  </si>
  <si>
    <t>esc.gisele@gmail.com</t>
  </si>
  <si>
    <t>HALLE DES SPORTS 4 Rue de la Pagnolee 14123 CORMELLES LE ROYAL</t>
  </si>
  <si>
    <t>Xavier RENOUVIN</t>
  </si>
  <si>
    <t>0231502032</t>
  </si>
  <si>
    <t>caenttc@wanadoo.fr</t>
  </si>
  <si>
    <t>Centre Sportif Haie Vigne 135 Rue de Bayeux 14000 CAEN</t>
  </si>
  <si>
    <t>Philippe LEPINEY</t>
  </si>
  <si>
    <t>0789246431</t>
  </si>
  <si>
    <t>lepiney.champion@wanadoo.fr</t>
  </si>
  <si>
    <t>Salle Multiactivtes Boulevard Robert Piquet Zone Nord Cour Debierre 14140 Livarot Pays d'Auge</t>
  </si>
  <si>
    <t>Geraldine BRAUD</t>
  </si>
  <si>
    <t>SALLE POLYVALENTE RUE DU CHATEAU 14210 TOURVILLE SUR ODON</t>
  </si>
  <si>
    <t>Damien DOUINE</t>
  </si>
  <si>
    <t>0612396255</t>
  </si>
  <si>
    <t>mondevillett@gmail.com</t>
  </si>
  <si>
    <t>Georges Lemarchand 1 rue Albert Bayet 14120 MONDEVILLE</t>
  </si>
  <si>
    <t>Isabelle ROUCOUX</t>
  </si>
  <si>
    <t>0616448628</t>
  </si>
  <si>
    <t>isabelle.roucoux@gmail.com</t>
  </si>
  <si>
    <t>TT BRIONNE 1, BOULEVARD EUGENE MARIE CARREFOUR HOTEL DE VILLE 27800 BRIONNE</t>
  </si>
  <si>
    <t>Eric FICHET DE CLAIRFONT</t>
  </si>
  <si>
    <t>0609066446</t>
  </si>
  <si>
    <t>president.capatt@gmail.com</t>
  </si>
  <si>
    <t>COMPLEXE SPORTIF 2 Avenue des Sports A cote de la piscine 27500 PONT AUDEMER</t>
  </si>
  <si>
    <t>Complexe sportif Rue du canada 27000 EVREUX</t>
  </si>
  <si>
    <t>Jean Francois BEURMS</t>
  </si>
  <si>
    <t>GYMNASE Daniel HOUSSAYS RUE LAVOISIER 27700 LES ANDELYS</t>
  </si>
  <si>
    <t>Thierry BONVALET</t>
  </si>
  <si>
    <t>GYMNASE ECOLE- Rue Jules Ferry- 27950 ST MARCEL</t>
  </si>
  <si>
    <t>09270030</t>
  </si>
  <si>
    <t>Guy FABRE</t>
  </si>
  <si>
    <t>0603206306</t>
  </si>
  <si>
    <t>fabreguy@orange.fr</t>
  </si>
  <si>
    <t>ASB CHEMIN DES RICHARDS (ecole maternelle) 27160 BRETEUIL</t>
  </si>
  <si>
    <t>Lionel BOUILLIE</t>
  </si>
  <si>
    <t>SALLE DE CROTH- Place de la Mairie- 27530 CROTH</t>
  </si>
  <si>
    <t>Mathieu CHERET</t>
  </si>
  <si>
    <t>0687589334</t>
  </si>
  <si>
    <t>mathieu.cheret@wanadoo.fr</t>
  </si>
  <si>
    <t>SALLE DE TT- Rue Kennedy- Face au gymnase Alice Milliat- 27340 PONT DE L'ARCHE</t>
  </si>
  <si>
    <t>Hugo BOSSUT</t>
  </si>
  <si>
    <t>Jean Philippe GATIEN 10 RUE FRANCOIS CADENNES 27140 GISORS</t>
  </si>
  <si>
    <t>Valentin HEMMERY</t>
  </si>
  <si>
    <t>0626982723</t>
  </si>
  <si>
    <t>valentinhemmery@gmail.com</t>
  </si>
  <si>
    <t>Halle Sportive Rue Gustave Camut 27210 BEUZEVILLE</t>
  </si>
  <si>
    <t>Virginie PETROZ</t>
  </si>
  <si>
    <t>AMICALE PONG PACY MENILLES RUE JULES COIGNARD 27120 PACY SUR EURE</t>
  </si>
  <si>
    <t>Philippe PEREIRA</t>
  </si>
  <si>
    <t>0786843471</t>
  </si>
  <si>
    <t>philippe-pereira@laposte.net</t>
  </si>
  <si>
    <t>Salle Jean Moulin Rue Jean Moulin 27400 HONDOUVILLE</t>
  </si>
  <si>
    <t>Nicole LEBLANC</t>
  </si>
  <si>
    <t>Gymnase du College Rue St-Pierre 27290 MONTFORT SUR RISLE</t>
  </si>
  <si>
    <t>Jacques LAMBERT</t>
  </si>
  <si>
    <t>0622883811</t>
  </si>
  <si>
    <t>jacqueslambert27@aol.com</t>
  </si>
  <si>
    <t>U S ETREPAGNY T T RUE LAVOISIER 27150 ETREPAGNY</t>
  </si>
  <si>
    <t>Yann TURCAS</t>
  </si>
  <si>
    <t>0670515068</t>
  </si>
  <si>
    <t>yannoturcas@gmail.com</t>
  </si>
  <si>
    <t>Salle specifique tennis de table Complexe sportif Rue Marcel Pagnol 27930 GRAVIGNY</t>
  </si>
  <si>
    <t>Bruno LABOULAIS</t>
  </si>
  <si>
    <t>0612262180</t>
  </si>
  <si>
    <t>laboulai@club-internet.fr</t>
  </si>
  <si>
    <t>ROLAND THOMAS SQUARE DU HUIT MAI STADE MARCEL GUILLOT 27110 LE NEUBOURG</t>
  </si>
  <si>
    <t>Gymnase BENONI 20 route de la garenne 27600 GAILLON</t>
  </si>
  <si>
    <t>Gilles VINCENT</t>
  </si>
  <si>
    <t>0660913347</t>
  </si>
  <si>
    <t>vdrcstt@sfr.fr</t>
  </si>
  <si>
    <t>GYMNASE DU PARC DES SPORTS chaussee de Ritterhude 27100 VAL DE REUIL</t>
  </si>
  <si>
    <t>Martial MALARD</t>
  </si>
  <si>
    <t>0689010484</t>
  </si>
  <si>
    <t>mm5327@orange.fr</t>
  </si>
  <si>
    <t>GYMNASE- Route de Bernay- 27230 THIBERVILLE</t>
  </si>
  <si>
    <t>Patrick BIGOT</t>
  </si>
  <si>
    <t>0637345689</t>
  </si>
  <si>
    <t>patrick.bigot2@orange.fr</t>
  </si>
  <si>
    <t>SALLE DES ASSOCIATIONS 2 BIS RUE DES MOISSONNEURS 27930 GUICHAINVILLE</t>
  </si>
  <si>
    <t>Yves MORO</t>
  </si>
  <si>
    <t>0652803484</t>
  </si>
  <si>
    <t>ymoro2@wanadoo.fr</t>
  </si>
  <si>
    <t>gymnase de Routot rue du Roumois 27350 ROUTOT</t>
  </si>
  <si>
    <t>Fabio RICCIO</t>
  </si>
  <si>
    <t>0623161463</t>
  </si>
  <si>
    <t>plsl.tennisdetable@orange.fr</t>
  </si>
  <si>
    <t>Salle de TT Jean Philippe Gatien 705 Rue de l'Exode Espace B 50000 ST LO</t>
  </si>
  <si>
    <t>Mathieu COURTIN</t>
  </si>
  <si>
    <t>0660648863</t>
  </si>
  <si>
    <t>matthieu.courtin@free.fr</t>
  </si>
  <si>
    <t>Salle Jean Nordez 36 Avenue Poincare 50100 CHERBOURG OCTEVILLE</t>
  </si>
  <si>
    <t>Christophe GUERARD</t>
  </si>
  <si>
    <t>0679683411</t>
  </si>
  <si>
    <t>christophe.guerard.ucbtt@gmail.com</t>
  </si>
  <si>
    <t>ATTENTION, JOUE SALLE BERNARD LELARGE - 13 rue du 08 Mai - 50130 MONTEBOURG</t>
  </si>
  <si>
    <t>Vincent LOCHET</t>
  </si>
  <si>
    <t>0620218685</t>
  </si>
  <si>
    <t>lochet.vincent@gmail.com</t>
  </si>
  <si>
    <t>Gymnase COSEC Rue du Vieux Tot Equeurdreville 50120 EQUEURDREVILLE HAINNEVILLE</t>
  </si>
  <si>
    <t>Yannick GUILLARD</t>
  </si>
  <si>
    <t>Hubert Savary 24, avenue Jean-Francois Millet Gymnase College J.Prevert 50200 COUTANCES</t>
  </si>
  <si>
    <t>Mehdi BENNIA</t>
  </si>
  <si>
    <t>0650751528</t>
  </si>
  <si>
    <t>bennia.mehdi@orange.fr</t>
  </si>
  <si>
    <t>SALLE BERNARD LELARGE - 13 rue du 08 Mai - 50130 MONTEBOURG</t>
  </si>
  <si>
    <t>Mickael QUENAULT</t>
  </si>
  <si>
    <t>0612392673</t>
  </si>
  <si>
    <t>mickaquenault@gmail.com</t>
  </si>
  <si>
    <t>SALLE Michel ANNE Complexe sport Avenue de Sainte Marie AGNEAUX 50180 AGNEAUX</t>
  </si>
  <si>
    <t>Joel DERENNE</t>
  </si>
  <si>
    <t>Salle de Sport des Raquettes 9 Rue du Printemps Route d'Avranches 50540 ISIGNY LE BUAT</t>
  </si>
  <si>
    <t>Pascal BOUIN</t>
  </si>
  <si>
    <t>J.S. CARANTILLAISE 04 La Mazure Salle Andre RIHOUEY 50570 CARANTILLY</t>
  </si>
  <si>
    <t>Pascal LEBLOND</t>
  </si>
  <si>
    <t>0682345957</t>
  </si>
  <si>
    <t>contact.asctt@gmail.com</t>
  </si>
  <si>
    <t>Salle Guy LEMOINE Rue des Vieilles Carrieres 50100 CHERBOURG OCTEVILLE</t>
  </si>
  <si>
    <t>Fabrice DUGUEPEROUX</t>
  </si>
  <si>
    <t>0603508096</t>
  </si>
  <si>
    <t>dugueperouxfabrice@gmail.com</t>
  </si>
  <si>
    <t>Salle de Tennis de Table 8 Avenue Guillaume le Conquerant Entree cote stade Loic Lebon 50240 ST JAMES</t>
  </si>
  <si>
    <t>Maxence LECOMPAGNON</t>
  </si>
  <si>
    <t>0633308160</t>
  </si>
  <si>
    <t>maxence.lecompagnon@hotmail.com</t>
  </si>
  <si>
    <t>RAQUETTES CLUB ST JEAN DES CHAMP Route de St Ursin Impasse Saint-Exupery 50320 ST JEAN DES CHAMPS</t>
  </si>
  <si>
    <t>Jeremy GLORIA</t>
  </si>
  <si>
    <t>0638818595</t>
  </si>
  <si>
    <t>jeremygloria@hotmail.fr</t>
  </si>
  <si>
    <t>Hall des Sports 42 Rue de Boishue 50220 DUCEY</t>
  </si>
  <si>
    <t>U.S.M. DONVILLAISES 10 Rue Thomas Giordano Salle Raymond Orange 50350 DONVILLE LES BAINS</t>
  </si>
  <si>
    <t>Aurelien MASSELINE</t>
  </si>
  <si>
    <t>0642015561</t>
  </si>
  <si>
    <t>aurelienmasseline.estorignaise@gmail.com</t>
  </si>
  <si>
    <t>Gymnase les Terriers Rue des Terriers 50160 TORIGNI SUR VIRE</t>
  </si>
  <si>
    <t>Emmanuel DURET</t>
  </si>
  <si>
    <t>0637514688</t>
  </si>
  <si>
    <t>manu.duret@wanadoo.fr</t>
  </si>
  <si>
    <t>AS QUERQUEVILLAISE T.T. Avenue De L'allmendingen 50460 Cherbourg-en-Cotentin</t>
  </si>
  <si>
    <t>Patrick NOUGAYREDE</t>
  </si>
  <si>
    <t>0233792789</t>
  </si>
  <si>
    <t>nougayrede.patrick@wanadoo.fr</t>
  </si>
  <si>
    <t>Salle Marly Route d'Avranches 50600 ST HILAIRE DU HARCOUET</t>
  </si>
  <si>
    <t>Gymnase Sccissy Place de la mairie 50380 ST PAIR SUR MER</t>
  </si>
  <si>
    <t>Christophe BENARD</t>
  </si>
  <si>
    <t>Gymnase Route de Barneville 50340 LES PIEUX</t>
  </si>
  <si>
    <t>Christian VAUTIER</t>
  </si>
  <si>
    <t>Salle de tennis de table Le bourg 50140 ROMAGNY</t>
  </si>
  <si>
    <t>Stephane LECLERC</t>
  </si>
  <si>
    <t>0661337866</t>
  </si>
  <si>
    <t>leclercst77@hotmail.fr</t>
  </si>
  <si>
    <t>LA FILATURE- 35 rue du Littoral- 50560 GOUVILLE SUR MER</t>
  </si>
  <si>
    <t>Philippe MASSON</t>
  </si>
  <si>
    <t>0636053723</t>
  </si>
  <si>
    <t>masphi@laposte.net</t>
  </si>
  <si>
    <t>Salle Multisports Stade de la Charriere 50460 URVILLE NACQUEVILLE</t>
  </si>
  <si>
    <t>Antoine VAUTIER</t>
  </si>
  <si>
    <t>Complexe sportif des Follieres Rue des Follieres 50330 ST PIERRE EGLISE</t>
  </si>
  <si>
    <t>COMPLEXE SPORTIF- 111 rue des Sports- 50710 CREANCES</t>
  </si>
  <si>
    <t>Antoine MAST</t>
  </si>
  <si>
    <t>Salle Michel Pelchat Rue du 104eme Regiment Infanteri (a cote de la piscine) 61200 ARGENTAN</t>
  </si>
  <si>
    <t>Jean Michel MAILLARD</t>
  </si>
  <si>
    <t>0648130214</t>
  </si>
  <si>
    <t>maillard.j2m@gmail.com</t>
  </si>
  <si>
    <t>Halle des Sports 1 rue Pierre Huet 61100 FLERS</t>
  </si>
  <si>
    <t>Fabrice VINCLAIR</t>
  </si>
  <si>
    <t>0685832343</t>
  </si>
  <si>
    <t>fabrice.vinclair@sfr.fr</t>
  </si>
  <si>
    <t>Complexe Sportif Etoile Rue de Verdun 61000 ALENCON</t>
  </si>
  <si>
    <t>Christian LUCAS</t>
  </si>
  <si>
    <t>P.S.J. TINCHEBRAY Boulevard du Midi 61800 TINCHEBRAY</t>
  </si>
  <si>
    <t>Sylvain LEFEVRE</t>
  </si>
  <si>
    <t>0610131297</t>
  </si>
  <si>
    <t>lefevresyl@yahoo.fr</t>
  </si>
  <si>
    <t>Salle Specifique Tennis de Table Les Terriers 61430 ATHIS DE L ORNE</t>
  </si>
  <si>
    <t>Jean-Luc GAULTIER</t>
  </si>
  <si>
    <t>0678774289</t>
  </si>
  <si>
    <t>jean-luc.gaultier2@wanadoo.fr</t>
  </si>
  <si>
    <t>Salle de Sport Rue St Denis 61220 BRIOUZE</t>
  </si>
  <si>
    <t>Daniel COUTURIER</t>
  </si>
  <si>
    <t>0661658390</t>
  </si>
  <si>
    <t>couturier61@orange.fr</t>
  </si>
  <si>
    <t>Salle Polyvalente 61300 ST OUEN SUR ITON</t>
  </si>
  <si>
    <t>Jean Louis DROUIN</t>
  </si>
  <si>
    <t>0233265988</t>
  </si>
  <si>
    <t>dkoelz61@aol.com</t>
  </si>
  <si>
    <t>A ST GERMAIN DU CORBEIS TT 52 Bis rue du General Leclerc 61000 ST GERMAIN DU CORBEIS</t>
  </si>
  <si>
    <t>Claire COLIN</t>
  </si>
  <si>
    <t>0676947485</t>
  </si>
  <si>
    <t>usm.tdt@gmail.com</t>
  </si>
  <si>
    <t>Salle de la S.E.S. 48 Rue Des Quinze Fusillés 61400 Mortagne-au-Perche</t>
  </si>
  <si>
    <t>Gymnase Paul Souvray Route de Versailles Acces rue hautvie et 1ere droite 61600 LA FERTE MACE</t>
  </si>
  <si>
    <t>Dimitri BISCHOFF</t>
  </si>
  <si>
    <t>SALLE FLAVIEN DOITEAU Route de Paris 61270 AUBE</t>
  </si>
  <si>
    <t>Gymnase Colette Besson Rue de Chanzy 76100 ROUEN</t>
  </si>
  <si>
    <t>Julien VASSEUR</t>
  </si>
  <si>
    <t>0671232558</t>
  </si>
  <si>
    <t>le-marylou@hotmail.fr</t>
  </si>
  <si>
    <t>Rue Edouard Cannevel - Derrière La Poste 76510 ST NICOLAS D'ALIERMONT</t>
  </si>
  <si>
    <t>Celia LIXON</t>
  </si>
  <si>
    <t>Gymnase Emile Zola Rue Victor Mény 76300 Sotteville-lès-Rouen</t>
  </si>
  <si>
    <t>Jean-Marie DUFILS</t>
  </si>
  <si>
    <t>0633246190</t>
  </si>
  <si>
    <t>jm.dufils@orange.fr</t>
  </si>
  <si>
    <t>COMPLEXE SPORTIF - RUE DE VERDUN - 76420 BIHOREL</t>
  </si>
  <si>
    <t>CLUB PONGISTE YVETOTAIS Compl. Sport. rue Retimare Salle Jacques Secretin 76190 YVETOT</t>
  </si>
  <si>
    <t>Jade LOMBARD</t>
  </si>
  <si>
    <t>0695270031</t>
  </si>
  <si>
    <t>cpquevillais@gmail.com</t>
  </si>
  <si>
    <t>SALLE ROGER BONNET Rue Stasnislas Girardin 76140 LE PETIT QUEVILLY</t>
  </si>
  <si>
    <t>Raphael SENECAL</t>
  </si>
  <si>
    <t>0603812614</t>
  </si>
  <si>
    <t>rapha.senecal@gm</t>
  </si>
  <si>
    <t>SALLE OMNISPORTS Rue Georges Pompidou 76720 AUFFAY</t>
  </si>
  <si>
    <t>Jean Francois BATAILLE</t>
  </si>
  <si>
    <t>0623467660</t>
  </si>
  <si>
    <t>ettoissel@aol.com</t>
  </si>
  <si>
    <t>ETTO salle Claude BILLARD ECOLE PASTEUR rue Gustave Lecomte 76350 OISSEL</t>
  </si>
  <si>
    <t>Laurent DUVAL</t>
  </si>
  <si>
    <t>0682550724</t>
  </si>
  <si>
    <t>lau2608@orange.fr</t>
  </si>
  <si>
    <t>Max BOZON Maison des sports 20 Bis Avenue Gambetta 76200 DIEPPE</t>
  </si>
  <si>
    <t>Thomas HEMOULIN</t>
  </si>
  <si>
    <t>secretaire.cpbarentin@gmail.com</t>
  </si>
  <si>
    <t>G. DORE 13 RUE JEAN JAURES 76360 BARENTIN</t>
  </si>
  <si>
    <t>Stephane GALLI</t>
  </si>
  <si>
    <t>0629850802</t>
  </si>
  <si>
    <t>gallis@wanadoo.fr</t>
  </si>
  <si>
    <t>SALLE F. DUTHIL C. SPORTIF VIARDIERE Rue de FRECKHORST 76570 PAVILLY</t>
  </si>
  <si>
    <t>Bruno DEVAUX</t>
  </si>
  <si>
    <t>0673988922</t>
  </si>
  <si>
    <t>bruno.2vaux@gmail.com</t>
  </si>
  <si>
    <t>SALLE DES ACACIAS- 9 rue Sanson- 76600 LE HAVRE</t>
  </si>
  <si>
    <t>Philippe BARBARAY</t>
  </si>
  <si>
    <t>0652142303</t>
  </si>
  <si>
    <t>ph.barbaray@free.fr</t>
  </si>
  <si>
    <t>Salle Specifique H.BARTLET 4, RUE GUSTAVE FLAUBERT 76120 LE GRAND QUEVILLY</t>
  </si>
  <si>
    <t>Matthieu FRANCOIS</t>
  </si>
  <si>
    <t>0625222974</t>
  </si>
  <si>
    <t>ascbtennisdetable@gmail.com</t>
  </si>
  <si>
    <t>Salle Gatien Halle des Sports Rue du Bois Bagneres 76240 BONSECOURS</t>
  </si>
  <si>
    <t>Jocelin AUBERVILLE</t>
  </si>
  <si>
    <t>0630006081</t>
  </si>
  <si>
    <t>correspondant@troissetsbolbecais.fr</t>
  </si>
  <si>
    <t>Complexe Eric Tabarly (Salle Jacques Secrétin) 393 AVENUE DU MARECHAL JOFFRE 76210 - BOLBEC 76210 BOLBEC</t>
  </si>
  <si>
    <t>Olivier DESSENNE</t>
  </si>
  <si>
    <t>0688184344</t>
  </si>
  <si>
    <t>olidesse@yahoo.fr</t>
  </si>
  <si>
    <t>CENTRE SPORTIF COQUETS RUE PROFESSEUR FLEURY 76130 MONT ST AIGNAN</t>
  </si>
  <si>
    <t>Luc PARIS</t>
  </si>
  <si>
    <t>DOMINIQUE MONTIER 184 Avenue de l'Europe Groupe sportif les Saulniers 76320 ST PIERRE LES ELBEUF</t>
  </si>
  <si>
    <t>Arnaud VINCENT</t>
  </si>
  <si>
    <t>0612402284</t>
  </si>
  <si>
    <t>cafl.vincent@free.fr</t>
  </si>
  <si>
    <t>TENNIS DE TABLE RUE DE SEINE 76530 GRAND COURONNE</t>
  </si>
  <si>
    <t>Thomas GUERIN</t>
  </si>
  <si>
    <t>0666360333</t>
  </si>
  <si>
    <t>thomas.guerin.aac.tt@gmail.com</t>
  </si>
  <si>
    <t>HALL SPORTIF DUVIVIER L'ARCHIPEL RUE NAUDIN 76650 PETIT COURONNE</t>
  </si>
  <si>
    <t>Marc DUPUY</t>
  </si>
  <si>
    <t>SALLE ANDRE MORGANT STADE LE DANTEC - CHEMIN ST JACQUES - 76400 FECAMP</t>
  </si>
  <si>
    <t>Sebastien BOUCHER</t>
  </si>
  <si>
    <t>0609030563</t>
  </si>
  <si>
    <t>fjlaremueett0270@gmail.com</t>
  </si>
  <si>
    <t>SALLE OMNISPORTS- Impasse des Mercuriales- 76430 LA REMUEE</t>
  </si>
  <si>
    <t>Salle Emmanuel LEBESSON Rue Henri Matisse Complexe sportif Max LOUVEL 76290 MONTIVILLIERS</t>
  </si>
  <si>
    <t>Bernard DEMARTHE</t>
  </si>
  <si>
    <t>0612394150</t>
  </si>
  <si>
    <t>rsenvermeu@gmail.com</t>
  </si>
  <si>
    <t>SALLE DES SPORTS 64 Rue du General de Gaulle 76630 ENVERMEU</t>
  </si>
  <si>
    <t>Stephane LANDORMY</t>
  </si>
  <si>
    <t>0626156314</t>
  </si>
  <si>
    <t>stephane.landormy@orange.fr</t>
  </si>
  <si>
    <t>Salle Florian MERRIEN (Espace Jean Loup Chretien) rue roger lebarbier 76710 MONTVILLE</t>
  </si>
  <si>
    <t>Xavier LEGAY</t>
  </si>
  <si>
    <t>Halle des sports Rue des Canadiens Annexe 3 76520 BOOS</t>
  </si>
  <si>
    <t>Francois TRECOURT</t>
  </si>
  <si>
    <t>GYMNASE CODET 1794 RUE DE LA HAIE 76230 BOIS GUILLAUME</t>
  </si>
  <si>
    <t>GYMNASE JOLIOT CURIE RUE GUYNEMER 76800 ST ETIENNE DU ROUVRAY</t>
  </si>
  <si>
    <t>Jessy DELAHAIS</t>
  </si>
  <si>
    <t>Complexe Sportif David DOUILLET Salle Damien Eloi Place Marcel RAGOT 76520 FRANQUEVILLE ST PIERRE</t>
  </si>
  <si>
    <t>Claude MAURICE</t>
  </si>
  <si>
    <t>0645996055</t>
  </si>
  <si>
    <t>claude.maurice.cm@wanadoo.fr</t>
  </si>
  <si>
    <t>COMPLEXE SPORTIF DU CHEVAL ROUGE 1448 ROUTE DE NEUFCHATEL 76230 ISNEAUVILLE</t>
  </si>
  <si>
    <t>Martial ALLEAUME</t>
  </si>
  <si>
    <t>0643020130</t>
  </si>
  <si>
    <t>martial.alleaume@wanadoo.fr</t>
  </si>
  <si>
    <t>STADE DESCHASEAUX rue du Pont Tinel 76610 LE HAVRE</t>
  </si>
  <si>
    <t>Christophe JOUEN</t>
  </si>
  <si>
    <t>0647000173</t>
  </si>
  <si>
    <t>jouen.christophe@orange.fr</t>
  </si>
  <si>
    <t>SALLE DES SPORTS Rue de la GARE 76970 MOTTEVILLE</t>
  </si>
  <si>
    <t>Dominique LAURENT</t>
  </si>
  <si>
    <t>0631718497</t>
  </si>
  <si>
    <t>cpgrandcamp@outlook.fr</t>
  </si>
  <si>
    <t>SALLE LES OLYMPIADES- Place South Wonston 76170 LA FRENAYE</t>
  </si>
  <si>
    <t>Martine LEMARCHAND</t>
  </si>
  <si>
    <t>0750520566</t>
  </si>
  <si>
    <t>asso.tennisdetablehavre@gmail.com</t>
  </si>
  <si>
    <t>GYMNASE DESCARTES 29 RUE ARQUIS GYMNASE DESCARTES 76620 LE HAVRE</t>
  </si>
  <si>
    <t>Bruno ALLAIS</t>
  </si>
  <si>
    <t>0615221522</t>
  </si>
  <si>
    <t>bretteville76ping@gmail.com</t>
  </si>
  <si>
    <t>Gymnase Chemin du stade 76110 BRETTEVILLE DU GRAND CAUX</t>
  </si>
  <si>
    <t>Christophe SERE</t>
  </si>
  <si>
    <t>Salle JP GATIEN Avenue Buchholtz Centre Sportif CALMAT 76380 CANTELEU</t>
  </si>
  <si>
    <t>Alain FOURNIER</t>
  </si>
  <si>
    <t>0766657774</t>
  </si>
  <si>
    <t>ltyp@laposte.net</t>
  </si>
  <si>
    <t>SALLE OMNISPORTS IMPASSE PAUL BERT 76480 YAINVILLE</t>
  </si>
  <si>
    <t>Axel LEFAUX</t>
  </si>
  <si>
    <t>0761004066</t>
  </si>
  <si>
    <t>axel.lefaux@gmail.com</t>
  </si>
  <si>
    <t>Complexe Henri MEHL Avenue Charles de Gaulle 76700 HARFLEUR</t>
  </si>
  <si>
    <t>Nom_club</t>
  </si>
  <si>
    <t>prenom_nom_corr</t>
  </si>
  <si>
    <t>port_corr</t>
  </si>
  <si>
    <t>mail_corr</t>
  </si>
  <si>
    <t>adress_salle</t>
  </si>
  <si>
    <t>tel_salle</t>
  </si>
  <si>
    <t>76</t>
  </si>
  <si>
    <t>0235370603</t>
  </si>
  <si>
    <t>61</t>
  </si>
  <si>
    <t>0233391771</t>
  </si>
  <si>
    <t>50</t>
  </si>
  <si>
    <t>14</t>
  </si>
  <si>
    <t>PONT L EVEQUE 1</t>
  </si>
  <si>
    <t>0</t>
  </si>
  <si>
    <t>0235695814</t>
  </si>
  <si>
    <t>ES TORIGNAISE 1</t>
  </si>
  <si>
    <t>SAFRAN NS 1</t>
  </si>
  <si>
    <t>RS ENVERMEU 1</t>
  </si>
  <si>
    <t>0685899381</t>
  </si>
  <si>
    <t>062251050</t>
  </si>
  <si>
    <t>27</t>
  </si>
  <si>
    <t>NEUBOURG QUITTEBEUF TT 5</t>
  </si>
  <si>
    <t>0277126335</t>
  </si>
  <si>
    <t>PSJ TINCHEBRAY 2</t>
  </si>
  <si>
    <t>0233041221</t>
  </si>
  <si>
    <t>AL LA FERTE 1</t>
  </si>
  <si>
    <t>0781745949</t>
  </si>
  <si>
    <t>BRICQUEBEC UC 1</t>
  </si>
  <si>
    <t>CAMA TT 3</t>
  </si>
  <si>
    <t>0235603131</t>
  </si>
  <si>
    <t>USO MONDEVILLE 1</t>
  </si>
  <si>
    <t>0231836601</t>
  </si>
  <si>
    <t>0233241845</t>
  </si>
  <si>
    <t>CABOURG TT 3</t>
  </si>
  <si>
    <t>0250284776</t>
  </si>
  <si>
    <t>0629494936</t>
  </si>
  <si>
    <t>VILLERS BOCAGE 1</t>
  </si>
  <si>
    <t>0233081044</t>
  </si>
  <si>
    <t>0233558558</t>
  </si>
  <si>
    <t>0233604964</t>
  </si>
  <si>
    <t>ALENCON ETOILE 1</t>
  </si>
  <si>
    <t>0233291898</t>
  </si>
  <si>
    <t>0232599400</t>
  </si>
  <si>
    <t>0231844294</t>
  </si>
  <si>
    <t>ASB BRETEUIL 1</t>
  </si>
  <si>
    <t>TT BRIONNE 1</t>
  </si>
  <si>
    <t>0232463198</t>
  </si>
  <si>
    <t>0953985995</t>
  </si>
  <si>
    <t>ENT MONTIVILLIERS / HEUQUEVILLE 1</t>
  </si>
  <si>
    <t>ETT OISSEL 5</t>
  </si>
  <si>
    <t>0235650067</t>
  </si>
  <si>
    <t>CS LES ANDELYS 1</t>
  </si>
  <si>
    <t>0232542299</t>
  </si>
  <si>
    <t>0233321619</t>
  </si>
  <si>
    <t>OC BRIOUZAIN 1</t>
  </si>
  <si>
    <t>GCO BIHOREL 1</t>
  </si>
  <si>
    <t>0233482806</t>
  </si>
  <si>
    <t>0231629313</t>
  </si>
  <si>
    <t>ENT BOLBEC / CLN 1</t>
  </si>
  <si>
    <t>0231833617</t>
  </si>
  <si>
    <t>DIEPPE U C TT 1</t>
  </si>
  <si>
    <t>0232283328</t>
  </si>
  <si>
    <t>CROTH TT-EZY-GARENNE 1</t>
  </si>
  <si>
    <t>0607822923</t>
  </si>
  <si>
    <t>0235493356</t>
  </si>
  <si>
    <t>THIBERVILLE TT 1</t>
  </si>
  <si>
    <t>0680929401</t>
  </si>
  <si>
    <t>0235467828</t>
  </si>
  <si>
    <t>0233446118</t>
  </si>
  <si>
    <t>OC AGNEAUX 1</t>
  </si>
  <si>
    <t>ST PHILBERT AC 1</t>
  </si>
  <si>
    <t>0233562818</t>
  </si>
  <si>
    <t>ES FALAISE 1</t>
  </si>
  <si>
    <t>0231904946</t>
  </si>
  <si>
    <t>0233013434</t>
  </si>
  <si>
    <t>GUICHAINVILLE TT 1</t>
  </si>
  <si>
    <t>0232300786</t>
  </si>
  <si>
    <t>ST HILAIRE/PARIGNY 4</t>
  </si>
  <si>
    <t>0233492443</t>
  </si>
  <si>
    <t>0235690832</t>
  </si>
  <si>
    <t>0235954545</t>
  </si>
  <si>
    <t>0231317614</t>
  </si>
  <si>
    <t>FRENOUVILLE TT 2</t>
  </si>
  <si>
    <t>0231395722</t>
  </si>
  <si>
    <t>0664138244</t>
  </si>
  <si>
    <t>FJ LA REMUEE TT 2</t>
  </si>
  <si>
    <t>0643921632</t>
  </si>
  <si>
    <t>AMFTT 1</t>
  </si>
  <si>
    <t>GOUVILLE-COUTAINVILLE 1</t>
  </si>
  <si>
    <t>0233450166</t>
  </si>
  <si>
    <t>A.G.DEAUVILLE 1</t>
  </si>
  <si>
    <t>0231143284</t>
  </si>
  <si>
    <t>A STEPHANAISE TT 1</t>
  </si>
  <si>
    <t>0675134451</t>
  </si>
  <si>
    <t>ATHIS CTT 3</t>
  </si>
  <si>
    <t>0233663651</t>
  </si>
  <si>
    <t>GAILLONAUBEVOYE 1</t>
  </si>
  <si>
    <t>0231391720</t>
  </si>
  <si>
    <t>0231445050</t>
  </si>
  <si>
    <t>CP BARENTIN 1</t>
  </si>
  <si>
    <t>0235920442</t>
  </si>
  <si>
    <t>BEUZEVILLE ATHLETIC CLUB 1</t>
  </si>
  <si>
    <t>0614403573</t>
  </si>
  <si>
    <t>UST EQUEURDREVILLE 1</t>
  </si>
  <si>
    <t>0233047673</t>
  </si>
  <si>
    <t>ENT PACY / EVREUX 1</t>
  </si>
  <si>
    <t>0232261679</t>
  </si>
  <si>
    <t>0950299770</t>
  </si>
  <si>
    <t>ST ANDRE/ORNE USSA 2</t>
  </si>
  <si>
    <t>BATHI</t>
  </si>
  <si>
    <t>BATHO</t>
  </si>
  <si>
    <t>BAIN</t>
  </si>
  <si>
    <t>BELUD</t>
  </si>
  <si>
    <t>BELUC</t>
  </si>
  <si>
    <t>BEJF</t>
  </si>
  <si>
    <t>BIMA</t>
  </si>
  <si>
    <t>CHPAT</t>
  </si>
  <si>
    <t>CHMC</t>
  </si>
  <si>
    <t>COBR</t>
  </si>
  <si>
    <t>CUKA</t>
  </si>
  <si>
    <t>CUFL</t>
  </si>
  <si>
    <t>DEJL</t>
  </si>
  <si>
    <t>DEJC</t>
  </si>
  <si>
    <t>DEMPH</t>
  </si>
  <si>
    <t>DEJM</t>
  </si>
  <si>
    <t>DEJER</t>
  </si>
  <si>
    <t>DEJEA</t>
  </si>
  <si>
    <t>DUJER</t>
  </si>
  <si>
    <t>DUJF</t>
  </si>
  <si>
    <t>DUJL</t>
  </si>
  <si>
    <t>GOLA</t>
  </si>
  <si>
    <t>GRFR</t>
  </si>
  <si>
    <t>GUSEB</t>
  </si>
  <si>
    <t>GUDA</t>
  </si>
  <si>
    <t>GUCL</t>
  </si>
  <si>
    <t>GUSER</t>
  </si>
  <si>
    <t>HAFR</t>
  </si>
  <si>
    <t>HEEM</t>
  </si>
  <si>
    <t>HUAL</t>
  </si>
  <si>
    <t>JOCO</t>
  </si>
  <si>
    <t>LAJP</t>
  </si>
  <si>
    <t>LBPA</t>
  </si>
  <si>
    <t>LPDA</t>
  </si>
  <si>
    <t>LEDAN</t>
  </si>
  <si>
    <t>LEPA</t>
  </si>
  <si>
    <t>LEJU</t>
  </si>
  <si>
    <t>LEPAS</t>
  </si>
  <si>
    <t>LECFR</t>
  </si>
  <si>
    <t>LEJUL</t>
  </si>
  <si>
    <t>LEXAV</t>
  </si>
  <si>
    <t>LEFRE</t>
  </si>
  <si>
    <t>LEJP</t>
  </si>
  <si>
    <t>LEBRU</t>
  </si>
  <si>
    <t>LERE</t>
  </si>
  <si>
    <t>LEMAT</t>
  </si>
  <si>
    <t>LERO</t>
  </si>
  <si>
    <t>LEERI</t>
  </si>
  <si>
    <t>LEMOR</t>
  </si>
  <si>
    <t>LEJM</t>
  </si>
  <si>
    <t>LEPLA</t>
  </si>
  <si>
    <t>LEPPA</t>
  </si>
  <si>
    <t>LERLA</t>
  </si>
  <si>
    <t>LERFR</t>
  </si>
  <si>
    <t>LEVPA</t>
  </si>
  <si>
    <t>LIFA</t>
  </si>
  <si>
    <t>LOML</t>
  </si>
  <si>
    <t>LOLU</t>
  </si>
  <si>
    <t>LOLO</t>
  </si>
  <si>
    <t>LUST</t>
  </si>
  <si>
    <t>MAVI</t>
  </si>
  <si>
    <t>MOMI</t>
  </si>
  <si>
    <t>NIBA</t>
  </si>
  <si>
    <t>ONMO</t>
  </si>
  <si>
    <t>PEGI</t>
  </si>
  <si>
    <t>ROJE</t>
  </si>
  <si>
    <t>ROFA</t>
  </si>
  <si>
    <t>VADO</t>
  </si>
  <si>
    <t>VAER</t>
  </si>
  <si>
    <t>09140003</t>
  </si>
  <si>
    <t>duport.aurelia@neuf.fr</t>
  </si>
  <si>
    <t>Salle Omnisports  Rue des Sports     14170  ST PIERRE SUR DIVES  0231201639</t>
  </si>
  <si>
    <t>AG CAENNAISE  6 Rue du Petit Clos St Marc  La Folie Couvrechef   14000  CAEN  0231445050</t>
  </si>
  <si>
    <t>0231647483</t>
  </si>
  <si>
    <t>sdolley@agdeauville.fr</t>
  </si>
  <si>
    <t>POM'S  Boulevard des Sports     14800  DEAUVILLE  0231143284</t>
  </si>
  <si>
    <t>Specifique  TENNIS DE TABLE  Avenue de la Divette     14390  CABOURG  0250284776</t>
  </si>
  <si>
    <t xml:space="preserve">Salle Spécifique Jean Jalley  Rue des Pres Guilet     14110  CONDE SUR NOIREAU  </t>
  </si>
  <si>
    <t xml:space="preserve">COMPLEXE EINDHOVEN    Boulevard EINDHOVEN   14400  BAYEUX  </t>
  </si>
  <si>
    <t>paq14@orange.fr</t>
  </si>
  <si>
    <t>ASPTT CAEN  Rue de la Pompe     14200  HEROUVILLE ST CLAIR  0231062551</t>
  </si>
  <si>
    <t>SALLE ANDRE HUBERT BERARD
Rue Des Noës Davy, 14500 Vire Normandie</t>
  </si>
  <si>
    <t>0612632816</t>
  </si>
  <si>
    <t>seb2roses@yahoo.fr</t>
  </si>
  <si>
    <t>Gymnase Mimoun - Rue Saint-Hippolyte, 14100 Lisieux</t>
  </si>
  <si>
    <t>TROARN TT  44, Rue de l'Ancienne Gare     14670  TROARN  0231391720</t>
  </si>
  <si>
    <t xml:space="preserve">Gymnase Even  Rue Gustave Flaubert  A cote du college   14130  PONT L EVEQUE  </t>
  </si>
  <si>
    <t>0250109936</t>
  </si>
  <si>
    <t>Salle Georges CAVELIER  46 Avenue de la Redoute     14150  OUISTREHAM  0664138244</t>
  </si>
  <si>
    <t>09140060</t>
  </si>
  <si>
    <t>0670002045</t>
  </si>
  <si>
    <t>fp024023@gmail.com</t>
  </si>
  <si>
    <t>Salle du Clos Guillaume  Rue du Stade     14510  HOULGATE  0231387967</t>
  </si>
  <si>
    <t>Salle Omni. Paul RAPHAEL  Rue Marechal FOCH     14630  FRENOUVILLE  0231395722</t>
  </si>
  <si>
    <t xml:space="preserve">Salle TT - COSEC  Rue Leon Leclerc     14600  HONFLEUR  </t>
  </si>
  <si>
    <t>COMPLEXE SPORTIF DIDIER BIANCO  Rue du Champ St Georges     14700  FALAISE  0231904946</t>
  </si>
  <si>
    <t>0950502012</t>
  </si>
  <si>
    <t>USSA ST ANDRE/ORNE  Professeur Gombault     14320  ST ANDRE SUR ORNE  0684435539</t>
  </si>
  <si>
    <t>anathom14@gmail.com</t>
  </si>
  <si>
    <t xml:space="preserve">Gymnase Rue Saint Martin       14310  VILLERS BOCAGE  </t>
  </si>
  <si>
    <t>Salle Marius TRIOLET Rue Francois Mitterand, 14123 FLEURY SUR ORNE</t>
  </si>
  <si>
    <t>09140127</t>
  </si>
  <si>
    <t>0231802842</t>
  </si>
  <si>
    <t>bertrand.quedevilleleboeuf@sfr.fr</t>
  </si>
  <si>
    <t xml:space="preserve">Gymnase  route de Bougy  en face du collège   14210  EVRECY  </t>
  </si>
  <si>
    <t>0954041735</t>
  </si>
  <si>
    <t>HALLE DES SPORTS  4 Rue de la Pagnolee     14123  CORMELLES LE ROYAL  0231844294</t>
  </si>
  <si>
    <t>09140130</t>
  </si>
  <si>
    <t>0231800953</t>
  </si>
  <si>
    <t>jeanpy.lemonnier@wanadoo.fr</t>
  </si>
  <si>
    <t>Salle Polyvalente  Rue de Beaumont     14250  FONTENAY LE PESNEL  0231084804</t>
  </si>
  <si>
    <t>09140147</t>
  </si>
  <si>
    <t>0231685378</t>
  </si>
  <si>
    <t>quinette.bruno@wanadoo.fr</t>
  </si>
  <si>
    <t>Salle du Tennis de Table  Rue Marcel Lepage  Valdalliere   14410  VASSY  0231680549</t>
  </si>
  <si>
    <t>Centre Sportif Haie Vigne  135 Rue de Bayeux     14000  CAEN  0231502032</t>
  </si>
  <si>
    <t>09140162</t>
  </si>
  <si>
    <t>0231377722</t>
  </si>
  <si>
    <t>ol.guillaume@neuf.fr</t>
  </si>
  <si>
    <t>Gymnase du Hutrel  Avenue Pierre Roux     14440  DOUVRES LA DELIVRANDE  0231373229</t>
  </si>
  <si>
    <t>09140189</t>
  </si>
  <si>
    <t>0635186138</t>
  </si>
  <si>
    <t>estelle.lepont@gmail.com</t>
  </si>
  <si>
    <t>Salle OMNISPORT  RTE DE VILLARS LES DOMBES     01480  VILLENEUVE  0684620612</t>
  </si>
  <si>
    <t>09140200</t>
  </si>
  <si>
    <t>0231798342</t>
  </si>
  <si>
    <t>annickjuret@orange.fr</t>
  </si>
  <si>
    <t>Salle Polyvalente       14220  ST LAURENT DE CONDEL  0231793900</t>
  </si>
  <si>
    <t>09140201</t>
  </si>
  <si>
    <t>0231636309</t>
  </si>
  <si>
    <t>patrick.ruel.moyaux@orange.fr</t>
  </si>
  <si>
    <t>Salle nicolas batum  Route d'Ouilly     14590  MOYAUX  0231637457</t>
  </si>
  <si>
    <t>0231902341</t>
  </si>
  <si>
    <t>domriton@free.fr</t>
  </si>
  <si>
    <t xml:space="preserve">Salle multi-activites  173 rue les marronniers     14270  MEZIDON VALLEE D'AUGE.  </t>
  </si>
  <si>
    <t>09140211</t>
  </si>
  <si>
    <t>0680993515</t>
  </si>
  <si>
    <t>manceau.philippe58@gmail.com</t>
  </si>
  <si>
    <t>Salle des Fetes  Le Bourg  Face a l'eglise   14100  COURTONNE LA MEURDRAC  0231317614</t>
  </si>
  <si>
    <t>0231630833</t>
  </si>
  <si>
    <t>Salle Multiactivtes  Boulevard Robert Piquet  Zone Nord Cour Debierre   14140  Livarot Pays d'Auge  0231317614</t>
  </si>
  <si>
    <t>09140218</t>
  </si>
  <si>
    <t>0967472573</t>
  </si>
  <si>
    <t>daniel.guilmeau@wanadoo.fr</t>
  </si>
  <si>
    <t>ESPACE CULTUREL F. Seigneurie  Place du Haras     14430  DOZULE  0231391948</t>
  </si>
  <si>
    <t xml:space="preserve">SALLE POLYVALENTE  RUE DU CHATEAU     14210  TOURVILLE SUR ODON  </t>
  </si>
  <si>
    <t>09140227</t>
  </si>
  <si>
    <t>0231800386</t>
  </si>
  <si>
    <t>abortt.jld@free.fr</t>
  </si>
  <si>
    <t xml:space="preserve">Gymnase de ROTS  Rue Haute Bonny     14980  Rots  </t>
  </si>
  <si>
    <t>09140228</t>
  </si>
  <si>
    <t>0231972685</t>
  </si>
  <si>
    <t>jjnagot@msn.com</t>
  </si>
  <si>
    <t>Salle d Activites  RUE BAZIN     14990  BERNIERES SUR MER  0231969662</t>
  </si>
  <si>
    <t>09140231</t>
  </si>
  <si>
    <t>djsilver14@hotmail.com</t>
  </si>
  <si>
    <t xml:space="preserve">Complexe Sportif  Rue Urbain Cardon  Pres du terrain de football   14540  GRENTHEVILLE  </t>
  </si>
  <si>
    <t>09140234</t>
  </si>
  <si>
    <t>0231478425</t>
  </si>
  <si>
    <t>martial.jabot@wanadoo.fr</t>
  </si>
  <si>
    <t xml:space="preserve">Salle Municipale  Place de la Mairie     14280  ST CONTEST  </t>
  </si>
  <si>
    <t>Georges Lemarchand  1 rue Albert Bayet     14120  MONDEVILLE  0231836601</t>
  </si>
  <si>
    <t>Salle des Sports Jean LEROY  1, BOULEVARD EUGENE MARIE  CARREFOUR HOTEL DE VILLE   27800  BRIONNE  0232463198</t>
  </si>
  <si>
    <t>COMPLEXE SPORTIF  2 Avenue des Sports  A cote de la piscine   27500  PONT AUDEMER  0609066446</t>
  </si>
  <si>
    <t>Audrey.page27@gmail.com</t>
  </si>
  <si>
    <t>Complexe sportif  Rue du canada     27000  EVREUX  0232283328</t>
  </si>
  <si>
    <t>09270008</t>
  </si>
  <si>
    <t>0612660546</t>
  </si>
  <si>
    <t>d_gury@orange.fr</t>
  </si>
  <si>
    <t xml:space="preserve">SALLE THOMAS GOILARD  CH.DU MOULIN AUX MALADES 27130 VERNEUIL SUR AVRE          </t>
  </si>
  <si>
    <t>GYMNASE Daniel HOUSSAYS  RUE LAVOISIER     27700  LES ANDELYS  0232542299</t>
  </si>
  <si>
    <t>Complexe sportif Leo Lagrange - Rue Croix Blanche, 27950 Saint Marcel</t>
  </si>
  <si>
    <t>0232323066</t>
  </si>
  <si>
    <t xml:space="preserve">ASB  CHEMIN DES RICHARDS  (ecole maternelle)   27160  BRETEUIL  </t>
  </si>
  <si>
    <t>evelyne.hornaert@gmail.com</t>
  </si>
  <si>
    <t>GYMNASE DE GAMILLY  ROBERT SCHUMANN     27200  VERNON  0232211597</t>
  </si>
  <si>
    <t>09270045</t>
  </si>
  <si>
    <t>Routot.tennisdetable@gmail.com</t>
  </si>
  <si>
    <t xml:space="preserve">Gymnase du college Routot  rue Roumois  Gymnase du college Routot   27350  ROUTOT  </t>
  </si>
  <si>
    <t>rue Kennedy , face au gymnase Alice Milliat, 27340 Pont de l'Arche</t>
  </si>
  <si>
    <t xml:space="preserve">Jean Philippe GATIEN  10 RUE FRANCOIS CADENNES     27140  GISORS  </t>
  </si>
  <si>
    <t>09270071</t>
  </si>
  <si>
    <t>hubert.joann@gmail.com</t>
  </si>
  <si>
    <t xml:space="preserve">ENS SPORTIF LES TILLEULS  3, rue Edmond Mailloux     27100  LE VAUDREUIL  </t>
  </si>
  <si>
    <t>09270077</t>
  </si>
  <si>
    <t>0617448414</t>
  </si>
  <si>
    <t>dolenormand@wanadoo.fr</t>
  </si>
  <si>
    <t xml:space="preserve">Gymnase du Collège de Broglie  27 rue l'Arboussière     27270  BROGLIE  </t>
  </si>
  <si>
    <t>0232566581</t>
  </si>
  <si>
    <t>Halle Sportive  Rue Gustave Camut     27210  BEUZEVILLE  0614403573</t>
  </si>
  <si>
    <t xml:space="preserve">GYMNASE J. ANQUETIL 34 RUE de la GALISSONNIERE 27670 LE BOSC ROGER EN ROUMOIS          </t>
  </si>
  <si>
    <t>09270097</t>
  </si>
  <si>
    <t>0651008831</t>
  </si>
  <si>
    <t>cecilou73@gmail.com</t>
  </si>
  <si>
    <t>GYMNASE CANTONAL  Rue du Moulin     27240  DAMVILLE  06 76 04 89 79</t>
  </si>
  <si>
    <t>0232590151</t>
  </si>
  <si>
    <t xml:space="preserve">Salle Jean Moulin  Rue Jean Moulin     27400  HONDOUVILLE  </t>
  </si>
  <si>
    <t>0232558397</t>
  </si>
  <si>
    <t xml:space="preserve">U S ETREPAGNY T T  RUE LAVOISIER     27150  ETREPAGNY  </t>
  </si>
  <si>
    <t xml:space="preserve">SALLE ETIENNE RAYER  RUE SAINT PIERRE     27220  GROSSOEUVRE  </t>
  </si>
  <si>
    <t>09270127</t>
  </si>
  <si>
    <t>0237640103</t>
  </si>
  <si>
    <t>martine.ferrandin@wanadoo.fr</t>
  </si>
  <si>
    <t>SALLE POLYVALENTE  desgrouettes     28260  GUAINVILLE  0237640269</t>
  </si>
  <si>
    <t>09270136</t>
  </si>
  <si>
    <t>0666501909</t>
  </si>
  <si>
    <t>ruellon.jean-michel@orange.fr</t>
  </si>
  <si>
    <t xml:space="preserve">Salle des Associations  Rue du Chateau     27570  TILLIERES SUR AVRE  </t>
  </si>
  <si>
    <t xml:space="preserve">SALLE OSCAR  AVENUE DU PRE DE L'EGLISE     28380  ST REMY SUR AVRE  </t>
  </si>
  <si>
    <t xml:space="preserve">Salle specifique tennis de table  Complexe sportif  Rue Marcel Pagnol   27930  GRAVIGNY  </t>
  </si>
  <si>
    <t>09270140</t>
  </si>
  <si>
    <t>saintsebastientt@gmail.com</t>
  </si>
  <si>
    <t xml:space="preserve">Salle Pierre Janvier Rue du Sentier 27180 ST SEBASTIEN DE MORSENT          </t>
  </si>
  <si>
    <t>0232309199</t>
  </si>
  <si>
    <t>dubernard.bruno@wanadoo.fr</t>
  </si>
  <si>
    <t>SALLE POLYVALENTE    Le Bourg   27190  LE FIDELAIRE  0232376599</t>
  </si>
  <si>
    <t>bruno.laboulais@sfr.fr</t>
  </si>
  <si>
    <t>ROLAND THOMAS  SQUARE DU HUIT MAI  STADE MARCEL GUILLOT   27110  LE NEUBOURG  0277126335</t>
  </si>
  <si>
    <t>0628812147</t>
  </si>
  <si>
    <t>brice.capelli@hotmail.fr</t>
  </si>
  <si>
    <t xml:space="preserve">GYMNASE DU LYCEE MALRAUX  42 AVENUE FRANCOIS MITTERAND  (en face du lycee/portail VERT)   27600  GAILLON  </t>
  </si>
  <si>
    <t>0232458071</t>
  </si>
  <si>
    <t>stephane.eude2@orange.fr</t>
  </si>
  <si>
    <t>LIONEL LEPRINCE  Impasse de la côte rouge     27170  BEAUMONT LE ROGER  0616721823</t>
  </si>
  <si>
    <t>09270159</t>
  </si>
  <si>
    <t>0232340586</t>
  </si>
  <si>
    <t>lerouxt@trgo.toshibatec.fr</t>
  </si>
  <si>
    <t xml:space="preserve">GYMNASE ESPACE DE LA NOE 27190 LA BONNEVILLE SUR ITON          </t>
  </si>
  <si>
    <t>GYMNASE DU PARC DES SPORTS  chaussee de Ritterhude     27100  VAL DE REUIL  0232599400</t>
  </si>
  <si>
    <t>09270166</t>
  </si>
  <si>
    <t>0232383003</t>
  </si>
  <si>
    <t>camu.eric@neuf.fr</t>
  </si>
  <si>
    <t xml:space="preserve">SALLE POLYVALENTE  RUE DU CHATEAU  FACE TERRAIN DE FOOT   27930  AVIRON  </t>
  </si>
  <si>
    <t>09270169</t>
  </si>
  <si>
    <t>0684706332</t>
  </si>
  <si>
    <t>franckzanette@gmail.com</t>
  </si>
  <si>
    <t>JEAN FOUET  COMPLEXE LOUIS ARAGON  RTE DE LA LIBERATION   27610  ROMILLY SUR ANDELLE  02 32 49 38 53</t>
  </si>
  <si>
    <t>09270175</t>
  </si>
  <si>
    <t>dominique-darius@hotmail.fr</t>
  </si>
  <si>
    <t>GYMNASE MUNICIPAL  RUE DE L'EGLISE     27460  ALIZAY  02 35 61 97 41</t>
  </si>
  <si>
    <t>0232526796</t>
  </si>
  <si>
    <t>jeanlouispaysant@gmail.com</t>
  </si>
  <si>
    <t>SALLE DE TENNIS DE TABLE  2 Rue Faguette     27600  ST PIERRE LA GARENNE  0232526796</t>
  </si>
  <si>
    <t>thibervillett@hotmail.com</t>
  </si>
  <si>
    <t>Gymnase  Route de Bernay     27230  THIBERVILLE  0232464434</t>
  </si>
  <si>
    <t>09270180</t>
  </si>
  <si>
    <t>boisseyping@gmail.com</t>
  </si>
  <si>
    <t>Salle Colette BESSON Rue des longs Champs 27520 BOISSEY LE CHATEL</t>
  </si>
  <si>
    <t>0232384236</t>
  </si>
  <si>
    <t>SALLE DES ASSOCIATIONS  2 BIS RUE DES MOISSONNEURS     27930  GUICHAINVILLE  0232300786</t>
  </si>
  <si>
    <t>09270183</t>
  </si>
  <si>
    <t>0232373885</t>
  </si>
  <si>
    <t>pongmesnil@orange.fr</t>
  </si>
  <si>
    <t>Foyer Communal  Rue du Moulin     27650  MESNIL SUR L ESTREE  0678440409</t>
  </si>
  <si>
    <t>09270185</t>
  </si>
  <si>
    <t>0232535745</t>
  </si>
  <si>
    <t>renald.delalin@orange.fr</t>
  </si>
  <si>
    <t>Salle des Sports de FOURGES (VEXIN SUR EPTE)  47, Route de Gasny  (pres du stade)   27630  FOURGES  0232774665</t>
  </si>
  <si>
    <t>0232422311</t>
  </si>
  <si>
    <t>gymnase de Routot  rue du Roumois     27350  ROUTOT  0652803484</t>
  </si>
  <si>
    <t>09270188</t>
  </si>
  <si>
    <t>0232542808</t>
  </si>
  <si>
    <t>philippe.fleury4@wanadoo.fr</t>
  </si>
  <si>
    <t>SALLE DES FETES  7 Rue Jules Pedron     27700  GUISENIERS  0232542377</t>
  </si>
  <si>
    <t>Salle de TT Jean Philippe Gatien  705 Rue de l'Exode  Espace B   50000  ST LO  0233558558</t>
  </si>
  <si>
    <t>courtin.matt.cm@gmail.com</t>
  </si>
  <si>
    <t>Salle Jean Nordez  36 Avenue Poincare     50100  CHERBOURG OCTEVILLE  0233446118</t>
  </si>
  <si>
    <t>0233020173</t>
  </si>
  <si>
    <t>Salle Bernard Lelarge 13 Rue du 8 mai  (Ex: Chasse Barette)   50310 MONTEBOURG</t>
  </si>
  <si>
    <t>Gymnase COSEC  Rue du Vieux Tot  Equeurdreville     50120  EQUEURDREVILLE HAINNEVILLE  0233047673</t>
  </si>
  <si>
    <t>Hubert Savary  24, avenue Jean-Francois Millet  Gymnase College J.Prevert   50200  COUTANCES  0950299770</t>
  </si>
  <si>
    <t>09500014</t>
  </si>
  <si>
    <t>0233510630</t>
  </si>
  <si>
    <t>christianlecoeur@orange.fr</t>
  </si>
  <si>
    <t xml:space="preserve">Complexe des Monts Havard       50800  VILLEDIEU LES POELES  </t>
  </si>
  <si>
    <t xml:space="preserve">Salle Bernard Lelarge  13 Rue du 8 mai  (Ex: Chasse Barette)     50310  MONTEBOURG  </t>
  </si>
  <si>
    <t>QUENAULT Mickael</t>
  </si>
  <si>
    <t>SALLE Michel ANNE Complexe sport Avenue de Sainte Marie AGNEAUX  50180 AGNEAUX</t>
  </si>
  <si>
    <t>Salle Multi-activites  Le Stade  rue du fanal   14230  ISIGNY SUR MER  0231221473</t>
  </si>
  <si>
    <t xml:space="preserve">Salle de Sport des Raquettes  9 Rue du Printemps  Route d'Avranches   50540  ISIGNY LE BUAT  </t>
  </si>
  <si>
    <t>J.S. CARANTILLAISE  04 La Mazure  Salle Andre RIHOUEY   50570  CARANTILLY  0233562818</t>
  </si>
  <si>
    <t>Salle Guy LEMOINE  Rue des Vieilles Carrieres     50100  CHERBOURG OCTEVILLE  0233013434</t>
  </si>
  <si>
    <t>09500031</t>
  </si>
  <si>
    <t>0233919417</t>
  </si>
  <si>
    <t>tthayland@gmail.com</t>
  </si>
  <si>
    <t xml:space="preserve">Salle du Ping Pong  Avenue Ernest Corbin     50320  LA HAYE PESNEL  </t>
  </si>
  <si>
    <t>0233604480</t>
  </si>
  <si>
    <t>Salle de Tennis de Table  8 Avenue Guillaume le Conquerant  Entree cote stade Loic Lebon   50240  ST JAMES  0233604964</t>
  </si>
  <si>
    <t xml:space="preserve">RAQUETTES CLUB ST JEAN DES CHAMP  Route de St Ursin  Impasse Saint-Exupery   50320  ST JEAN DES CHAMPS  </t>
  </si>
  <si>
    <t xml:space="preserve">C.L. CARENTANAIS  45 rue Henri Dunant     50500  CARENTAN  </t>
  </si>
  <si>
    <t>Hall des Sports  42 Rue de Boishue     50220  DUCEY  0233482806</t>
  </si>
  <si>
    <t>bouvet-t@bbox.fr</t>
  </si>
  <si>
    <t xml:space="preserve">U.S.M.  DONVILLAISES  10 Rue Thomas Giordano  Salle Raymond Orange   50350  DONVILLE LES BAINS  </t>
  </si>
  <si>
    <t>09500069</t>
  </si>
  <si>
    <t>0233600086</t>
  </si>
  <si>
    <t>boursin-cyril@wanadoo.fr</t>
  </si>
  <si>
    <t xml:space="preserve">Salle de Sport  4 Chemin de la Liberation     50520  JUVIGNY LE TERTRE  </t>
  </si>
  <si>
    <t>correspondantestorignaise@gmail.com</t>
  </si>
  <si>
    <t xml:space="preserve">Gymnase les Terriers  Rue des Terriers     50160  TORIGNI SUR VIRE  </t>
  </si>
  <si>
    <t xml:space="preserve">Gymnase de Saint Gilles  Rue du Bocage     50180  Saint Gilles  </t>
  </si>
  <si>
    <t>09500087</t>
  </si>
  <si>
    <t>nicolas.feron@gmx.fr</t>
  </si>
  <si>
    <t>Salle de Sports  La Hure de Loup     50750  STE SUZANNE SUR VIRE  0233552244</t>
  </si>
  <si>
    <t>dfarcy77@orange.fr</t>
  </si>
  <si>
    <t xml:space="preserve">Complexe Socio-Culturel Sportif  Rue du College     50640  LE TEILLEUL  </t>
  </si>
  <si>
    <t>0233010783</t>
  </si>
  <si>
    <t>AS QUERQUEVILLAISE T.T.  Avenue De L'allmendingen     50460  Cherbourg-en-Cotentin  0233081044</t>
  </si>
  <si>
    <t xml:space="preserve">Salle D ELOI  3 Route de Cuves     50670  ST POIS  </t>
  </si>
  <si>
    <t>Salle Marly  Route d'Avranches     50600  ST HILAIRE DU HARCOUET  0233492443</t>
  </si>
  <si>
    <t>Gymnase Sccissy  Place de la mairie     50380  ST PAIR SUR MER  0643921632</t>
  </si>
  <si>
    <t>sylvain.plaine@gmail.com</t>
  </si>
  <si>
    <t>Salle Henri Menut  Rue de la Mare a Canards     50470  LA GLACERIE  0233206711</t>
  </si>
  <si>
    <t>Gymnase  Route de Barneville     50340  LES PIEUX  0233041221</t>
  </si>
  <si>
    <t>09500130</t>
  </si>
  <si>
    <t>0233599003</t>
  </si>
  <si>
    <t>georges.lesage@bbox.fr</t>
  </si>
  <si>
    <t xml:space="preserve">E.S. CAROLLES-JULLOUVILLE  Avenue des Fregates     50610  JULLOUVILLE  </t>
  </si>
  <si>
    <t xml:space="preserve">Salle de tennis de table  Le bourg     50140  ROMAGNY  </t>
  </si>
  <si>
    <t>0233462904</t>
  </si>
  <si>
    <t>Salle de la Filature  35 Rue du Littoral     50560  GOUVILLE SUR MER  0233450166</t>
  </si>
  <si>
    <t xml:space="preserve">Salle Multisports  Stade de la Charriere     50460  URVILLE NACQUEVILLE  </t>
  </si>
  <si>
    <t>09500153</t>
  </si>
  <si>
    <t>0233517555</t>
  </si>
  <si>
    <t>sena05@orange.fr</t>
  </si>
  <si>
    <t xml:space="preserve">Salle Jeanne d'Arc (hall AGR)  28, rue Pierre de Coubertin     67000  STRASBOURG  </t>
  </si>
  <si>
    <t>09500154</t>
  </si>
  <si>
    <t>jugele.cyrille@gmail.com</t>
  </si>
  <si>
    <t>11 RUE DU CHAMP DAVY  LE BOURG DIRECTION ST JAMES     50240  ST LAURENT DE TERREGATTE  0661212186</t>
  </si>
  <si>
    <t>Complexe sportif des Follieres  Rue des Follieres     50330  ST PIERRE EGLISE  0640115640</t>
  </si>
  <si>
    <t>09500160</t>
  </si>
  <si>
    <t>0233047388</t>
  </si>
  <si>
    <t>moniquebarbey@orange.fr</t>
  </si>
  <si>
    <t>Salle Omnisports  Rue Pierre de Coubertin     50270  BARNEVILLE CARTERET  0233538654</t>
  </si>
  <si>
    <t>09500162</t>
  </si>
  <si>
    <t>0688820532</t>
  </si>
  <si>
    <t>pierre.wacogne@outlook.fr</t>
  </si>
  <si>
    <t xml:space="preserve">Salle Omnisport  Avenue des Peupliers     50340  SIOUVILLE HAGUE  </t>
  </si>
  <si>
    <t>0233464475</t>
  </si>
  <si>
    <t>marc.vignaut@gmail.com</t>
  </si>
  <si>
    <t>COMPLEXE SPORTIF  111 rue des sports     50710  CREANCES  0601847021</t>
  </si>
  <si>
    <t>09500164</t>
  </si>
  <si>
    <t>0627179653</t>
  </si>
  <si>
    <t>seve.eric.ducreux@gmail.com</t>
  </si>
  <si>
    <t>Gymnase de Bagatelle  Rue du Grand Pre     50110  TOURLAVILLE  0233236970</t>
  </si>
  <si>
    <t>09500165</t>
  </si>
  <si>
    <t>0233044720</t>
  </si>
  <si>
    <t>stephane.lereverend@sfr.fr</t>
  </si>
  <si>
    <t xml:space="preserve">Gymnase  44 Rue Saint-Hermeland     50260  Sottevast  </t>
  </si>
  <si>
    <t>09500167</t>
  </si>
  <si>
    <t>meme.marie@orange.fr</t>
  </si>
  <si>
    <t xml:space="preserve">Salle de Tennis Hambye  12 Rue des sports     50450  Hambye  </t>
  </si>
  <si>
    <t>Salle Michel Pelchat  Rue du 104eme Regiment Infanteri   (a cote de la piscine)  61200  ARGENTAN  0233391771</t>
  </si>
  <si>
    <t>Halle des Sports  1 rue Pierre Huet     61100  FLERS  0648130214</t>
  </si>
  <si>
    <t>0250190194</t>
  </si>
  <si>
    <t>Complexe Sportif Etoile  Rue de Verdun     61000  ALENCON  0233291898</t>
  </si>
  <si>
    <t xml:space="preserve">P.S.J. TINCHEBRAY  Boulevard du Midi     61800  TINCHEBRAY  </t>
  </si>
  <si>
    <t>09610012</t>
  </si>
  <si>
    <t>0233653079</t>
  </si>
  <si>
    <t>domrobine@gmail.com</t>
  </si>
  <si>
    <t xml:space="preserve">Salle Guy Rivrain (anc. ecole)  Rue de la Piscine  Le Gue Plat   61450  LA FERRIERE AUX ETANGS  </t>
  </si>
  <si>
    <t>09610017</t>
  </si>
  <si>
    <t>0687830921</t>
  </si>
  <si>
    <t>alexandreannie@orange.fr</t>
  </si>
  <si>
    <t xml:space="preserve">C.A.L. Salle Polyvalente  Rue du Champassais     61700  DOMFRONT  </t>
  </si>
  <si>
    <t>Salle Specifique Tennis de Table - Athis Val de Rouvre</t>
  </si>
  <si>
    <t xml:space="preserve">AVENIR DE DURCET  Le Bourg de Durcet     61100  DURCET  </t>
  </si>
  <si>
    <t>09610037</t>
  </si>
  <si>
    <t>0233644308</t>
  </si>
  <si>
    <t>christophe.huet0@orange.fr</t>
  </si>
  <si>
    <t>Salle de la Fraternelle  Rte d'Athis - Parking de l'Ecole     61430  STE HONORINE LA CHARDONNE  06 21 22 19 57</t>
  </si>
  <si>
    <t xml:space="preserve">ETOILE ALENCON  32 avenue Wilson     61000  ALENCON  </t>
  </si>
  <si>
    <t>09610040</t>
  </si>
  <si>
    <t>laure-bruno@orange.fr</t>
  </si>
  <si>
    <t xml:space="preserve">Salle Jean Feron  Rue du Docteur Prod'homme     61210  PUTANGES PONT ECREPIN  </t>
  </si>
  <si>
    <t>0233648073</t>
  </si>
  <si>
    <t xml:space="preserve">Salle de Sport  Rue St Denis     61220  BRIOUZE  </t>
  </si>
  <si>
    <t>09610073</t>
  </si>
  <si>
    <t>0601186445</t>
  </si>
  <si>
    <t>olympique.tt@gmail.com</t>
  </si>
  <si>
    <t>Salle Jean Lenoir  Place Pierre Semard  en face de la Gare   61200  ARGENTAN  0233357789</t>
  </si>
  <si>
    <t>Salle Polyvalente       61300  ST OUEN SUR ITON  0233241845</t>
  </si>
  <si>
    <t>A ST GERMAIN DU CORBEIS TT  52 Bis rue du General Leclerc     61000  ST GERMAIN DU CORBEIS  0233321619</t>
  </si>
  <si>
    <t>philippe.covillot@orange.fr</t>
  </si>
  <si>
    <t xml:space="preserve">A.S. ST PIERRE DU REGARD  Rue de la Mairie     61790  ST PIERRE DU REGARD  </t>
  </si>
  <si>
    <t>Salle Polyvalente  Le bourg     61150  LOUGE SUR MAIRE  0616717871</t>
  </si>
  <si>
    <t>09610097</t>
  </si>
  <si>
    <t>alaingaumer@wanadoo.fr</t>
  </si>
  <si>
    <t xml:space="preserve">U.S. MANTILLY  Le Bourg     61350  MANTILLY  </t>
  </si>
  <si>
    <t>09610108</t>
  </si>
  <si>
    <t>0233353053</t>
  </si>
  <si>
    <t>thierryhoulette@orange.fr</t>
  </si>
  <si>
    <t>Salle des Fetes 61160 BAILLEUL</t>
  </si>
  <si>
    <t>09610115</t>
  </si>
  <si>
    <t>0233380052</t>
  </si>
  <si>
    <t>brunocerati@free.fr</t>
  </si>
  <si>
    <t>Gymnase  Route de Bagnoles     61140  JUVIGNY SOUS ANDAINE  0233373042</t>
  </si>
  <si>
    <t>col.claire@wanadoo.fr</t>
  </si>
  <si>
    <t>Espace des Poulies  Rue Saint Lambert     61400  Mortagne-au-Perche  0646055590</t>
  </si>
  <si>
    <t>ernult.laure.pro@gmail.com</t>
  </si>
  <si>
    <t>Gymnase Paul Souvray - Lieu Dit Le Plant, 61600 La Ferté-Macé</t>
  </si>
  <si>
    <t>09610130</t>
  </si>
  <si>
    <t>0233737912</t>
  </si>
  <si>
    <t>jacqueslaffitte@orange.fr</t>
  </si>
  <si>
    <t>Gymnase  Rue du College Av de Stuhlingen     61130  BELLEME  0233730736</t>
  </si>
  <si>
    <t>09610131</t>
  </si>
  <si>
    <t>0233250672</t>
  </si>
  <si>
    <t>famille.secretain@orange.fr</t>
  </si>
  <si>
    <t>Gymnage Omnisports       61110  BRETONCELLES  0237370561</t>
  </si>
  <si>
    <t>Salle de Tennis de Table de Crulai 61300 CRULAI,  Salle ACATT  Route de Paris 61270 AUBE</t>
  </si>
  <si>
    <t>09610136</t>
  </si>
  <si>
    <t>0233275470</t>
  </si>
  <si>
    <t>yom.garnier@orange.fr</t>
  </si>
  <si>
    <t xml:space="preserve">Gymnase Pole Associatif  1, Rue Andre Cotto     61170  LE MELE SUR SARTHE  </t>
  </si>
  <si>
    <t>philippemorvant@wanadoo.fr</t>
  </si>
  <si>
    <t>COMPLEXE SPORTIF  Route de l'Aigle     61550  LA FERTE FRENEL  0233243516</t>
  </si>
  <si>
    <t>09610148</t>
  </si>
  <si>
    <t>0973513160</t>
  </si>
  <si>
    <t>ttstsm61300@gmail.com</t>
  </si>
  <si>
    <t>Salle polyvalente       61300  ST MARTIN D ECUBLEI  0233243274</t>
  </si>
  <si>
    <t>09610149</t>
  </si>
  <si>
    <t>stephanie.lhomme61@free.fr</t>
  </si>
  <si>
    <t>Maison des Sports ZA L Boulai 61370 STE GAUBURGE STE COLOMBE</t>
  </si>
  <si>
    <t>09610150</t>
  </si>
  <si>
    <t>0233386725</t>
  </si>
  <si>
    <t>TTC61700club@gmail.com</t>
  </si>
  <si>
    <t xml:space="preserve">Salle Associative  5 Rue Albert Christophle     61700  Champsecret  </t>
  </si>
  <si>
    <t>Gymnase Colette BESSON  RUE DE CHANZY     76100  ROUEN  0664965820</t>
  </si>
  <si>
    <t>0235867719</t>
  </si>
  <si>
    <t xml:space="preserve">Gymnase Emile Zola  Rue Victor Mény     76300  Sotteville-lès-Rouen  </t>
  </si>
  <si>
    <t>marionbrachini@yahoo.fr</t>
  </si>
  <si>
    <t>CLUB PONGISTE YVETOTAIS  Compl. Sport.  rue Retimare  Salle Jacques Secretin   76190  YVETOT  0235954545</t>
  </si>
  <si>
    <t>09760015</t>
  </si>
  <si>
    <t>christine.clement3@orange.fr</t>
  </si>
  <si>
    <t xml:space="preserve">CHATEAU DE CHANTEREINE Porte H  Rue de Chantereine     76910  CRIEL SUR MER  </t>
  </si>
  <si>
    <t>rapha.senecal@gmail.com</t>
  </si>
  <si>
    <t xml:space="preserve">SALLE OMNISPORTS  Rue Georges Pompidou     76720  AUFFAY  </t>
  </si>
  <si>
    <t>09760028</t>
  </si>
  <si>
    <t>bureau.rccaudebec.tt@gmail.com</t>
  </si>
  <si>
    <t>SALLE JEAN LEFEBVRE EXT CALYPSO  Cours du 18 juin   Salle Jean Lefebvre  76320  CAUDEBEC LES ELBEUF  0663582052</t>
  </si>
  <si>
    <t>0235663436</t>
  </si>
  <si>
    <t>ETTO salle Claude BILLARD  ECOLE PASTEUR  rue Gustave Lecomte   76350  OISSEL  0235650067</t>
  </si>
  <si>
    <t>Max BOZON    Maison des sports  20 Bis Avenue Gambetta     76200  DIEPPE  0622259359</t>
  </si>
  <si>
    <t>0235913586</t>
  </si>
  <si>
    <t>09760046</t>
  </si>
  <si>
    <t>0235935355</t>
  </si>
  <si>
    <t>christophe.coquatrix@orange.fr</t>
  </si>
  <si>
    <t>HALLE DE SPORT  VAL BOULOGNE  43 rue Paul Lesueur   76680  ST SAENS  0660976440</t>
  </si>
  <si>
    <t>09760069</t>
  </si>
  <si>
    <t>aldtt76160@gmail.com</t>
  </si>
  <si>
    <t>CENTRE SPORT.ANDRE HAVEL RUE DES BELGES 76160 DARNETAL, AL DARNETAL rue de Verdun (gymnase), Groupe Scolaire Marcel Pagnol, 76160 DARNETAL</t>
  </si>
  <si>
    <t>0235949987</t>
  </si>
  <si>
    <t>homorenee@live.fr</t>
  </si>
  <si>
    <t xml:space="preserve">RAQUETTE NEUFCHATELOISE  Boulevard Albert Charvet     76270  Neufchâtel-en-Bray  </t>
  </si>
  <si>
    <t>0235213550</t>
  </si>
  <si>
    <t xml:space="preserve">SALLE DES ACACIAS  9 rue sanson     76600  LE HAVRE  </t>
  </si>
  <si>
    <t>09760100</t>
  </si>
  <si>
    <t>07 85 57 64 36</t>
  </si>
  <si>
    <t>gennydubos@hotmail.com</t>
  </si>
  <si>
    <t xml:space="preserve">SALLE Leo LAGRANGE  Rue du Pont TINEL  stade DESCHASEAUX   76600  LE HAVRE  </t>
  </si>
  <si>
    <t xml:space="preserve">STADE MUNICIPAL  Route de Barville     76450  CANY BARVILLE  </t>
  </si>
  <si>
    <t>0235681984</t>
  </si>
  <si>
    <t>Salle Specifique H.BARTLET  4, RUE GUSTAVE FLAUBERT     76120  LE GRAND QUEVILLY  0235690832</t>
  </si>
  <si>
    <t>MESNIL ESNARD TENNIS DE TABLE  10 Ter Rue Thiers     76240  LE MESNIL ESNARD  0235614450</t>
  </si>
  <si>
    <t>09760127</t>
  </si>
  <si>
    <t>0235851931</t>
  </si>
  <si>
    <t>vas.christian@wanadoo.fr</t>
  </si>
  <si>
    <t xml:space="preserve">SALLE J.M. LEPRONT  FACE USINE REGMA  Rue Auguste Perret   76880  ARQUES LA BATAILLE  </t>
  </si>
  <si>
    <t xml:space="preserve">Salle Gatien Halle des Sports  Rue du Bois Bagneres     76240  BONSECOURS  </t>
  </si>
  <si>
    <t xml:space="preserve">Complexe Eric Tabarly (Salle Jacques Secrétin)  393 AVENUE DU MARECHAL JOFFRE  76210  -  BOLBEC   76210  BOLBEC  </t>
  </si>
  <si>
    <t>09760156</t>
  </si>
  <si>
    <t>0235901685</t>
  </si>
  <si>
    <t>rosele-brunel@wanadoo.fr</t>
  </si>
  <si>
    <t xml:space="preserve">SALLE TT JEAN BRUNEL  GYMNASE DE L'AUNAIE  AVENUE DES AULNAIES   76220  GOURNAY EN BRAY  </t>
  </si>
  <si>
    <t>0235740552</t>
  </si>
  <si>
    <t xml:space="preserve">CENTRE SPORTIF COQUETS  RUE PROFESSEUR FLEURY     76130  MONT ST AIGNAN  </t>
  </si>
  <si>
    <t>s.bernier76370@gmail.com</t>
  </si>
  <si>
    <t>SALLE HC DELPY  RUE ALEXANDRE DUMAS     76370  BERNEVAL LE GRAND  0235403802</t>
  </si>
  <si>
    <t>DOMINIQUE MONTIER  184 Avenue de l'Europe  Groupe sportif les Saulniers   76320  ST PIERRE LES ELBEUF  0607822923</t>
  </si>
  <si>
    <t>0786956893</t>
  </si>
  <si>
    <t>dimidoc@hotmail.fr</t>
  </si>
  <si>
    <t>Salle des sports  Route de Forges  derriere le college   76750  BUCHY  0672454697</t>
  </si>
  <si>
    <t>09760206</t>
  </si>
  <si>
    <t>0630535659</t>
  </si>
  <si>
    <t>gerard.lacombe0325@orange.fr</t>
  </si>
  <si>
    <t>A S C FRENEUSE  PLACE DES SAULES     76410  FRENEUSE  0630535659</t>
  </si>
  <si>
    <t>09760214</t>
  </si>
  <si>
    <t>Yannlutz82@gmail.com</t>
  </si>
  <si>
    <t>SALLE POLYVALENTE rue andre Gides 76280 TURRETOT</t>
  </si>
  <si>
    <t>TENNIS DE TABLE  RUE DE SEINE     76530  GRAND COURONNE  0235695814</t>
  </si>
  <si>
    <t xml:space="preserve">HALL SPORTIF DUVIVIER  L'ARCHIPEL  RUE NAUDIN   76650  PETIT COURONNE  </t>
  </si>
  <si>
    <t>09760230</t>
  </si>
  <si>
    <t>0659179833</t>
  </si>
  <si>
    <t>y.delcourt@orange.fr</t>
  </si>
  <si>
    <t>SALLE OMNISPORTS  Plaine du Mortier 76750 MORGNY LA POMMERAYE</t>
  </si>
  <si>
    <t>09760239</t>
  </si>
  <si>
    <t>0687240035</t>
  </si>
  <si>
    <t>carodelaunay76@yahoo.fr</t>
  </si>
  <si>
    <t>SALLE POLYVALENTE  163, Route de Ry     76116  BLAINVILLE CREVON  0235324380</t>
  </si>
  <si>
    <t>09760256</t>
  </si>
  <si>
    <t>uslttlillebonne76@gmail.com</t>
  </si>
  <si>
    <t xml:space="preserve">GYMNASE J. BENARD  PLACE COUBERTIN  gymnase derriere ecole glatigny   76170  LILLEBONNE  </t>
  </si>
  <si>
    <t>09760259</t>
  </si>
  <si>
    <t>0235966673</t>
  </si>
  <si>
    <t>ppcstlaurent@orange.fr</t>
  </si>
  <si>
    <t xml:space="preserve">Salle MUNICIPALE  PLACE DE LA MAIRIE     22660  TRELEVERN  </t>
  </si>
  <si>
    <t>09760286</t>
  </si>
  <si>
    <t>0682410954</t>
  </si>
  <si>
    <t>ericfdm2@gmail.com</t>
  </si>
  <si>
    <t xml:space="preserve">SALLE ANDRE LANDORMI  HANGAR 21  Chaussee Lamande   76600  LE HAVRE  </t>
  </si>
  <si>
    <t>0609612711</t>
  </si>
  <si>
    <t>montivillierstennisdetable76@gmail.com</t>
  </si>
  <si>
    <t xml:space="preserve">Salle Emmanuel LEBESSON  Rue Henri Matisse  Complexe sportif Max LOUVEL   76290  MONTIVILLIERS  </t>
  </si>
  <si>
    <t>09760294</t>
  </si>
  <si>
    <t>0322302250</t>
  </si>
  <si>
    <t>demouchydidier.taxi@gmail.com</t>
  </si>
  <si>
    <t>SALLE DES SPORTS  RUE VICTOR HUGO     76117  INCHEVILLE  0235503341</t>
  </si>
  <si>
    <t>SALLE DES SPORTS  64 Rue du General de Gaulle     76630  ENVERMEU  0685899381</t>
  </si>
  <si>
    <t>09760306</t>
  </si>
  <si>
    <t>0235951934</t>
  </si>
  <si>
    <t>alain.fercoq76@orange.com</t>
  </si>
  <si>
    <t xml:space="preserve">Salle polyvalente  Le bourg     76190  AUZEBOSC  </t>
  </si>
  <si>
    <t>09760308</t>
  </si>
  <si>
    <t>0661205862</t>
  </si>
  <si>
    <t>Greg7655@hotmail.fr</t>
  </si>
  <si>
    <t xml:space="preserve">A.S.L. OUVILLE LA RIVIER  ALLEE DE LA SAANE     76860  OUVILLE LA RIVIERE  </t>
  </si>
  <si>
    <t>09760311</t>
  </si>
  <si>
    <t>0235332268</t>
  </si>
  <si>
    <t>yannick.meunier1@sfr.fr</t>
  </si>
  <si>
    <t xml:space="preserve">Milcolor  Rue des Lilas     76710  ESLETTES  </t>
  </si>
  <si>
    <t>0235376215</t>
  </si>
  <si>
    <t xml:space="preserve">Salle Florian MERRIEN (Espace Jean Loup Chretien)  rue roger lebarbier     76710  montville  </t>
  </si>
  <si>
    <t>Halle des sports  Rue des Canadiens  Annexe 3   76520  BOOS  0625153066</t>
  </si>
  <si>
    <t>0235038821</t>
  </si>
  <si>
    <t>christophechappet76@gmail.com</t>
  </si>
  <si>
    <t>SALLE DES SPORTS R.TALBOT  QUAI L'ESCURE     76920  AMFREVILLE LA MI VOIE  0235236638</t>
  </si>
  <si>
    <t xml:space="preserve">GYMNASE CODET  1794 RUE DE LA HAIE     76230  BOIS GUILLAUME  </t>
  </si>
  <si>
    <t>0662788904</t>
  </si>
  <si>
    <t>as.stephanaise@gmail.com</t>
  </si>
  <si>
    <t>09760341</t>
  </si>
  <si>
    <t>o.mouchel@orange.fr</t>
  </si>
  <si>
    <t>SALLE POLYVALENTE  Norbert MARECHAL     76480  ST PIERRE DE VARENGEVILLE  0235378702</t>
  </si>
  <si>
    <t>09760342</t>
  </si>
  <si>
    <t>0235562672</t>
  </si>
  <si>
    <t>fjfauville76@orange.fr</t>
  </si>
  <si>
    <t xml:space="preserve">HALLE DE SPORT  RUE DE NORMANDIE     76640  FAUVILLE EN CAUX  </t>
  </si>
  <si>
    <t xml:space="preserve">Complexe Sportif David DOUILLET  Salle Damien Eloi  Place Marcel RAGOT   76520  FRANQUEVILLE ST PIERRE  </t>
  </si>
  <si>
    <t>maraisping@gmail.com</t>
  </si>
  <si>
    <t>GYMNASE P. KERGOMARD  33 rue Pauline Kergomard     76620  LE HAVRE  0762602335</t>
  </si>
  <si>
    <t xml:space="preserve">SALLE PAUL PESSY  Avenue de la hetraie     76850  LA CRIQUE  </t>
  </si>
  <si>
    <t>09760368</t>
  </si>
  <si>
    <t>nico-sabine@hotmail.fr</t>
  </si>
  <si>
    <t xml:space="preserve">SALLE POLYVALENTE       76210  NOINTOT  </t>
  </si>
  <si>
    <t>COMPLEXE SPORTIF DU CHEVAL ROUGE  1448 ROUTE DE NEUFCHATEL     76230  ISNEAUVILLE  0235603131</t>
  </si>
  <si>
    <t>09760377</t>
  </si>
  <si>
    <t>masterjean27@gmail.com</t>
  </si>
  <si>
    <t xml:space="preserve">salle des Sports  rue de l'ancien presbytere  proximite du stade   76160  ST MARTIN DU VIVIER  </t>
  </si>
  <si>
    <t>09760380</t>
  </si>
  <si>
    <t>0782405337</t>
  </si>
  <si>
    <t>asorival@free.fr</t>
  </si>
  <si>
    <t>AS ORIVAL RUE HIPPOLYTE ST AMANDINE 76500 ORIVAL</t>
  </si>
  <si>
    <t>STADE DESCHASEAUX  rue du Pont Tinel     76610  LE HAVRE  0235493356</t>
  </si>
  <si>
    <t>09760390</t>
  </si>
  <si>
    <t>0683260800</t>
  </si>
  <si>
    <t>patriclotilde@outlook.com</t>
  </si>
  <si>
    <t>Salle Omnisports       64330  GARLIN  0559047895</t>
  </si>
  <si>
    <t>09760391</t>
  </si>
  <si>
    <t>0659621794</t>
  </si>
  <si>
    <t>assottsvy@gmail.com</t>
  </si>
  <si>
    <t xml:space="preserve">COMPLEXE SPORTIF  CHEMIN DU STADE     76430  ST VIGOR D YMONVILLE  </t>
  </si>
  <si>
    <t>0235963856</t>
  </si>
  <si>
    <t xml:space="preserve">SALLE DES SPORTS  Rue de la GARE     76970  MOTTEVILLE  </t>
  </si>
  <si>
    <t xml:space="preserve">Les Olympiades  Place South Wonston  Derriere La Mairie   76170  LA FRENAYE  </t>
  </si>
  <si>
    <t>0235441903</t>
  </si>
  <si>
    <t xml:space="preserve">GYMNASE DESCARTES  29 RUE ARQUIS  GYMNASE DESCARTES   76620  LE HAVRE  0235467828  </t>
  </si>
  <si>
    <t>09760415</t>
  </si>
  <si>
    <t>christian.lecomte71@orange.fr</t>
  </si>
  <si>
    <t>SALLE DES FETES PLACE NORMANDIE 76330 NOTRE DAME DE GRAVENCHON</t>
  </si>
  <si>
    <t xml:space="preserve">FOYER RURAL  ROUTE DE POMMEREVAL     76270  BULLY  </t>
  </si>
  <si>
    <t>pingheuqueville@gmail.com</t>
  </si>
  <si>
    <t>SALLE POLYVALENTE  Rue Briquemare     76280  HEUQUEVILLE  0235203294</t>
  </si>
  <si>
    <t>09760419</t>
  </si>
  <si>
    <t>0235296626</t>
  </si>
  <si>
    <t>asc.toussaint.tt76@gmail.com</t>
  </si>
  <si>
    <t>SALLE DE L EPINAY  RUE DE L EPINAY     76400  TOUSSAINT  0235275682</t>
  </si>
  <si>
    <t>0235103121</t>
  </si>
  <si>
    <t>Gymnase  Chemin du stade     76110  BRETTEVILLE DU GRAND CAUX  062251050</t>
  </si>
  <si>
    <t xml:space="preserve">Salle JP GATIEN  Avenue Buchholtz  Centre Sportif CALMAT   76380  CANTELEU  </t>
  </si>
  <si>
    <t>0235974710</t>
  </si>
  <si>
    <t>chan.bern@orange.fr</t>
  </si>
  <si>
    <t>SALLE A BOURVIL  Cour du Chene     76740  FONTAINE LE DUN  0235570379</t>
  </si>
  <si>
    <t>09760430</t>
  </si>
  <si>
    <t>0235821801</t>
  </si>
  <si>
    <t>max.lameille@wanadoo.fr</t>
  </si>
  <si>
    <t>US CHEMINOTS DIEPPE  1 RUE PIERRE CURIE     76200  DIEPPE  0235831261</t>
  </si>
  <si>
    <t>SALLE OMNISPORTS  IMPASSE PAUL BERT     76480  YAINVILLE  0235370603</t>
  </si>
  <si>
    <t>09760447</t>
  </si>
  <si>
    <t>0235763769</t>
  </si>
  <si>
    <t>corrine.durieux@sfr.fr</t>
  </si>
  <si>
    <t xml:space="preserve">Ensemble Fernand Leger  Impasse Lurcat     76770  LE HOULME  </t>
  </si>
  <si>
    <t>09760448</t>
  </si>
  <si>
    <t>jpvalli@orange.fr</t>
  </si>
  <si>
    <t>SALLE POLYVALENTE CH.FEDINA  RUE DE LA MAIRIE     76190  VALLIQUERVILLE  0235953519</t>
  </si>
  <si>
    <t>09760449</t>
  </si>
  <si>
    <t>norvilleping@hotmail.fr</t>
  </si>
  <si>
    <t>SALLE MULTISPORT ROUTE DE CANTEPIE A COTE DU TERRAIN DE FOOT 76330 NORVILLE</t>
  </si>
  <si>
    <t>09760456</t>
  </si>
  <si>
    <t>0624802021</t>
  </si>
  <si>
    <t>justine.m.leclerc@gmail.com</t>
  </si>
  <si>
    <t xml:space="preserve">SALLE COMMUNALE       76190  TOUFFREVILLE LA CORBELINE  </t>
  </si>
  <si>
    <t>09760457</t>
  </si>
  <si>
    <t>0235751066</t>
  </si>
  <si>
    <t>pongiste.ams76480@orange.fr</t>
  </si>
  <si>
    <t xml:space="preserve">salle polyvalente  route de St Paer     76480  STE MARGUERITE SUR DUCLAIR  </t>
  </si>
  <si>
    <t xml:space="preserve">Complexe Henri MEHL  Avenue Charles de Gaulle     76700  HARFLEUR  </t>
  </si>
  <si>
    <t>09760461</t>
  </si>
  <si>
    <t>0235399667</t>
  </si>
  <si>
    <t>becasse.herve@gmail.com</t>
  </si>
  <si>
    <t>salle multisport intercommunale  Route du calvaire     76210  BEUZEVILLE LA GRENIER  0661200168</t>
  </si>
  <si>
    <t>09760463</t>
  </si>
  <si>
    <t>richard.wiela@wanadoo.fr</t>
  </si>
  <si>
    <t>Gymnase  Rue de l'Epine     76550  OFFRANVILLE  0782943274</t>
  </si>
  <si>
    <t>0235956825</t>
  </si>
  <si>
    <t>BERHAUT Ludovic</t>
  </si>
  <si>
    <t>JEHANNE Thierry</t>
  </si>
  <si>
    <t>DOLLEY Stephanie</t>
  </si>
  <si>
    <t>GILLES Didier</t>
  </si>
  <si>
    <t>LEMONCHOIS Eric</t>
  </si>
  <si>
    <t>LOEFFLER Yves</t>
  </si>
  <si>
    <t>QUENTIN Patrick</t>
  </si>
  <si>
    <t>PRUNIER Didier</t>
  </si>
  <si>
    <t>DEROOSE Sebastien</t>
  </si>
  <si>
    <t>TROARN Tennis de Table</t>
  </si>
  <si>
    <t>LHOMME Arnaud</t>
  </si>
  <si>
    <t>VIRAY Remy</t>
  </si>
  <si>
    <t>PERO Franck</t>
  </si>
  <si>
    <t>LECARDONNEL Rachel</t>
  </si>
  <si>
    <t>LECLERE Eric</t>
  </si>
  <si>
    <t>LE BONHOMME Pascal</t>
  </si>
  <si>
    <t>NOGRE Yohann</t>
  </si>
  <si>
    <t>THOMAS Eric</t>
  </si>
  <si>
    <t>LETHARD Karl</t>
  </si>
  <si>
    <t>QUEUDEVILLE LEBOEUF Bertrand</t>
  </si>
  <si>
    <t>TIPHAIGNE Gisele</t>
  </si>
  <si>
    <t>LEMONNIER Jean</t>
  </si>
  <si>
    <t>QUINETTE Bruno</t>
  </si>
  <si>
    <t>RENOUVIN Xavier</t>
  </si>
  <si>
    <t>FOUCHARD Guillaume</t>
  </si>
  <si>
    <t>PETIT Estelle</t>
  </si>
  <si>
    <t>JURET Annick</t>
  </si>
  <si>
    <t>RUEL Patrick</t>
  </si>
  <si>
    <t>YBERT Dominique</t>
  </si>
  <si>
    <t>MANCEAU Philippe</t>
  </si>
  <si>
    <t>LEPINEY Philippe</t>
  </si>
  <si>
    <t>GUILMEAU Daniel</t>
  </si>
  <si>
    <t>BRAUD Geraldine</t>
  </si>
  <si>
    <t>DEBON Jean-Luc</t>
  </si>
  <si>
    <t>NAGOT Jean Jacques</t>
  </si>
  <si>
    <t>ROUSSEL Sylvain</t>
  </si>
  <si>
    <t>JABOT Martial</t>
  </si>
  <si>
    <t>DOUINE Damien</t>
  </si>
  <si>
    <t>ROUCOUX Isabelle</t>
  </si>
  <si>
    <t>FICHET DE CLAIRFONTAINE Eric</t>
  </si>
  <si>
    <t>PAGE Audrey</t>
  </si>
  <si>
    <t>GURY Didier</t>
  </si>
  <si>
    <t>BEURMS Jean Francois</t>
  </si>
  <si>
    <t>BONVALET Thierry</t>
  </si>
  <si>
    <t>FABRE Guy</t>
  </si>
  <si>
    <t>HORNAERT Evelyne</t>
  </si>
  <si>
    <t>ALLAIN Christophe</t>
  </si>
  <si>
    <t>BOUILLIE Lionel</t>
  </si>
  <si>
    <t>CHERET Mathieu</t>
  </si>
  <si>
    <t>BOSSUT Hugo</t>
  </si>
  <si>
    <t>HUBERT Joann</t>
  </si>
  <si>
    <t>LENORMAND Dominique</t>
  </si>
  <si>
    <t>HEMMERY Valentin</t>
  </si>
  <si>
    <t>PETROZ Virginie</t>
  </si>
  <si>
    <t>JAOUEN Patrick</t>
  </si>
  <si>
    <t>SCHVARTZ Cecile</t>
  </si>
  <si>
    <t>PEREIRA Philippe</t>
  </si>
  <si>
    <t>LEBLANC Nicole</t>
  </si>
  <si>
    <t>LAMBERT Jacques</t>
  </si>
  <si>
    <t>FONDACCI Anne</t>
  </si>
  <si>
    <t>FERRANDIN Dominique</t>
  </si>
  <si>
    <t>RUELLON Jean Michel</t>
  </si>
  <si>
    <t>DEBOIS Claude</t>
  </si>
  <si>
    <t>TURCAS Yann</t>
  </si>
  <si>
    <t>LEFEBVRE Christian</t>
  </si>
  <si>
    <t>DUBERNARD Bruno</t>
  </si>
  <si>
    <t>LABOULAIS Bruno</t>
  </si>
  <si>
    <t>CAPELLI Pascal</t>
  </si>
  <si>
    <t>EUDE Stephan</t>
  </si>
  <si>
    <t>LEROUX Thierry</t>
  </si>
  <si>
    <t>VINCENT Gilles</t>
  </si>
  <si>
    <t>CAMU Eric</t>
  </si>
  <si>
    <t>ZANETTE Franck</t>
  </si>
  <si>
    <t>DARIUS Dominique</t>
  </si>
  <si>
    <t>PAYSANT Jean Louis</t>
  </si>
  <si>
    <t>MALARD Martial</t>
  </si>
  <si>
    <t>GOMES DE BARROS Joao</t>
  </si>
  <si>
    <t>BIGOT Patrick</t>
  </si>
  <si>
    <t>FOUCAULT Isabelle</t>
  </si>
  <si>
    <t>DELALIN Renald</t>
  </si>
  <si>
    <t>MORO Yves</t>
  </si>
  <si>
    <t>FLEURY Philippe</t>
  </si>
  <si>
    <t>RICCIO Fabio</t>
  </si>
  <si>
    <t>COURTIN Matthieu</t>
  </si>
  <si>
    <t>LOCHET Vincent</t>
  </si>
  <si>
    <t>GUILLARD Yannick</t>
  </si>
  <si>
    <t>LECOEUR Christian</t>
  </si>
  <si>
    <t>BENNIA Mehdi</t>
  </si>
  <si>
    <t>MONCHOIS Christian</t>
  </si>
  <si>
    <t>DERENNE Joel</t>
  </si>
  <si>
    <t>BOUIN Pascal</t>
  </si>
  <si>
    <t>LEBLOND Pascal</t>
  </si>
  <si>
    <t>LECOINTRE Jean Luc</t>
  </si>
  <si>
    <t>DUGUEPEROUX Fabrice</t>
  </si>
  <si>
    <t>LECOMPAGNON Maxence</t>
  </si>
  <si>
    <t>DEFOURNEAUX Eric</t>
  </si>
  <si>
    <t>GLORIA Jeremy</t>
  </si>
  <si>
    <t>BOUVET Thierry</t>
  </si>
  <si>
    <t>BOURSIN Cyril</t>
  </si>
  <si>
    <t>MASSELINE Aurelien</t>
  </si>
  <si>
    <t>HUE Emile</t>
  </si>
  <si>
    <t>FERON Nicolas</t>
  </si>
  <si>
    <t>FARCY Delphine</t>
  </si>
  <si>
    <t>DURET Emmanuel</t>
  </si>
  <si>
    <t>JOURDAIN Jean-Francois</t>
  </si>
  <si>
    <t>NOUGAYREDE Patrick</t>
  </si>
  <si>
    <t>NEBOUT Laurent</t>
  </si>
  <si>
    <t>PLAINE Sylvain</t>
  </si>
  <si>
    <t>BENARD Christophe</t>
  </si>
  <si>
    <t>LESAGE Georges</t>
  </si>
  <si>
    <t>VAUTIER Christian</t>
  </si>
  <si>
    <t>LECLERC Stephane</t>
  </si>
  <si>
    <t>MASSON Philippe</t>
  </si>
  <si>
    <t>DE OLIVEIRA Anselme</t>
  </si>
  <si>
    <t>JUGELE Cyrille</t>
  </si>
  <si>
    <t>VAUTIER Antoine</t>
  </si>
  <si>
    <t>BARBEY Jacques</t>
  </si>
  <si>
    <t>WACOGNE Pierre</t>
  </si>
  <si>
    <t>VIGNAUT Marc</t>
  </si>
  <si>
    <t>DUCREUX Eric</t>
  </si>
  <si>
    <t>LEREVEREND Stéphane</t>
  </si>
  <si>
    <t>MARIE Amelie</t>
  </si>
  <si>
    <t>MAST Antoine</t>
  </si>
  <si>
    <t>MAILLARD Jean Michel</t>
  </si>
  <si>
    <t>VINCLAIR Fabrice</t>
  </si>
  <si>
    <t>LUCAS Christian</t>
  </si>
  <si>
    <t>ROBINE Dominique</t>
  </si>
  <si>
    <t>PRINGAULT Annie</t>
  </si>
  <si>
    <t>LEFEVRE Sylvain</t>
  </si>
  <si>
    <t>BREARD Michel</t>
  </si>
  <si>
    <t>HUET Christophe</t>
  </si>
  <si>
    <t>PASCAL Chansom</t>
  </si>
  <si>
    <t>BERNARD Bruno</t>
  </si>
  <si>
    <t>GAULTIER Jean-Luc</t>
  </si>
  <si>
    <t>MORALES Julien</t>
  </si>
  <si>
    <t>COUTURIER Daniel</t>
  </si>
  <si>
    <t>DROUIN Jean Louis</t>
  </si>
  <si>
    <t>COVILLOT Philippe</t>
  </si>
  <si>
    <t>ESCOT Marc</t>
  </si>
  <si>
    <t>ALAIN Alain</t>
  </si>
  <si>
    <t>HOULETTE Thierry</t>
  </si>
  <si>
    <t>CERATI Bruno</t>
  </si>
  <si>
    <t>COLIN Claire</t>
  </si>
  <si>
    <t>ERNULT Laure</t>
  </si>
  <si>
    <t>LAFFITTE Jacques</t>
  </si>
  <si>
    <t>SECRETAIN Daniel</t>
  </si>
  <si>
    <t>BISCHOFF Dimitri</t>
  </si>
  <si>
    <t>GARNIER Didier</t>
  </si>
  <si>
    <t>MORVANT Philippe</t>
  </si>
  <si>
    <t>PAULHIAC Alain</t>
  </si>
  <si>
    <t>FAMERY Frederic</t>
  </si>
  <si>
    <t>FAVRIE Ludovic</t>
  </si>
  <si>
    <t>VANDERHAEGHE Mathieu</t>
  </si>
  <si>
    <t>VASSEUR Julien</t>
  </si>
  <si>
    <t>LIXON Celia</t>
  </si>
  <si>
    <t>DUFILS Jean-Marie</t>
  </si>
  <si>
    <t>BRACHINI Marion</t>
  </si>
  <si>
    <t>ANCEL Olivier</t>
  </si>
  <si>
    <t>LOMBARD Jade</t>
  </si>
  <si>
    <t>SENECAL Raphael</t>
  </si>
  <si>
    <t>TORCHY Cyril</t>
  </si>
  <si>
    <t>BATAILLE Jean Francois</t>
  </si>
  <si>
    <t>DUVAL Laurent</t>
  </si>
  <si>
    <t>HEMOULIN Thomas</t>
  </si>
  <si>
    <t>GALLI Stephane</t>
  </si>
  <si>
    <t>COQUATRIX Christophe</t>
  </si>
  <si>
    <t>CROISSANT Christophe</t>
  </si>
  <si>
    <t>HOMO Daniel</t>
  </si>
  <si>
    <t>DEVAUX Bruno</t>
  </si>
  <si>
    <t>MORVAN Bernard</t>
  </si>
  <si>
    <t>LEMELE Matthieu</t>
  </si>
  <si>
    <t>BARBARAY Philippe</t>
  </si>
  <si>
    <t>DELAPORTE Jean Luc</t>
  </si>
  <si>
    <t>VASSARD Christian</t>
  </si>
  <si>
    <t>FRANCOIS Matthieu</t>
  </si>
  <si>
    <t>AUBERVILLE Jocelin</t>
  </si>
  <si>
    <t>BRUNEL Marie Rose</t>
  </si>
  <si>
    <t>DESSENNE Olivier</t>
  </si>
  <si>
    <t>BERNIER Stephane</t>
  </si>
  <si>
    <t>PARIS Luc</t>
  </si>
  <si>
    <t>MARDOC Dimitri</t>
  </si>
  <si>
    <t>LACOMBE Gerard</t>
  </si>
  <si>
    <t>LUTZ Yann</t>
  </si>
  <si>
    <t>VINCENT Arnaud</t>
  </si>
  <si>
    <t>GUERIN Thomas</t>
  </si>
  <si>
    <t>DELCOURT Yvon</t>
  </si>
  <si>
    <t>DELAUNAY Caroline</t>
  </si>
  <si>
    <t>ISABEL Catherine</t>
  </si>
  <si>
    <t>PIEDNOEL Michel</t>
  </si>
  <si>
    <t>DUPUY Marc</t>
  </si>
  <si>
    <t>BOUCHER Sebastien</t>
  </si>
  <si>
    <t>ALTMEYERHENZIEN Eric</t>
  </si>
  <si>
    <t>LEDIEU Jean David</t>
  </si>
  <si>
    <t>DEMOUCHY Didier</t>
  </si>
  <si>
    <t>DEMARTHE Bernard</t>
  </si>
  <si>
    <t>FERCOQ Pascal</t>
  </si>
  <si>
    <t>MERAULT Gregory</t>
  </si>
  <si>
    <t>MEUNIER Yannick</t>
  </si>
  <si>
    <t>LANDORMY Stephane</t>
  </si>
  <si>
    <t>LEGAY Xavier</t>
  </si>
  <si>
    <t>CHAPPET Christophe</t>
  </si>
  <si>
    <t>TRECOURT Francois</t>
  </si>
  <si>
    <t>HERICHER Antoine</t>
  </si>
  <si>
    <t>MOUCHEL Olivier</t>
  </si>
  <si>
    <t>BEUX Christophe</t>
  </si>
  <si>
    <t>DELAHAIS Jessy</t>
  </si>
  <si>
    <t>MARAIS Ingrid</t>
  </si>
  <si>
    <t>MALET Alain</t>
  </si>
  <si>
    <t>PORET Nicolas</t>
  </si>
  <si>
    <t>MAURICE Claude</t>
  </si>
  <si>
    <t>GRANDSIRE Jean-Philippe</t>
  </si>
  <si>
    <t>GUILBERT Guy</t>
  </si>
  <si>
    <t>ALLEAUME Martial</t>
  </si>
  <si>
    <t>LAMBART Patrick</t>
  </si>
  <si>
    <t>GALLET Vincent</t>
  </si>
  <si>
    <t>JOUEN Christophe</t>
  </si>
  <si>
    <t>LAURENT Dominique</t>
  </si>
  <si>
    <t>LEMARCHAND Martine</t>
  </si>
  <si>
    <t>LECOMTE Christian</t>
  </si>
  <si>
    <t>HERELLE Richard</t>
  </si>
  <si>
    <t>DUMONT Stéphane</t>
  </si>
  <si>
    <t>LEROY Gregory</t>
  </si>
  <si>
    <t>ALLAIS Bruno</t>
  </si>
  <si>
    <t>SERE Christophe</t>
  </si>
  <si>
    <t>PETIT Bernard</t>
  </si>
  <si>
    <t>LAMEILLE Max</t>
  </si>
  <si>
    <t>FOURNIER Alain</t>
  </si>
  <si>
    <t>DURIEUX Corinne</t>
  </si>
  <si>
    <t>CUISY Jean Francois</t>
  </si>
  <si>
    <t>LEROUX Antoine</t>
  </si>
  <si>
    <t>LECLERC Justine</t>
  </si>
  <si>
    <t>HERVIEU Didier</t>
  </si>
  <si>
    <t>LEFAUX Axel</t>
  </si>
  <si>
    <t>BECASSE Herve</t>
  </si>
  <si>
    <t>WIELA Richard</t>
  </si>
  <si>
    <t>0786412107</t>
  </si>
  <si>
    <t>0609703550</t>
  </si>
  <si>
    <t>0698652448</t>
  </si>
  <si>
    <t>0635971855</t>
  </si>
  <si>
    <t>0614230160</t>
  </si>
  <si>
    <t>NON</t>
  </si>
  <si>
    <t>OUI</t>
  </si>
  <si>
    <t>15H00</t>
  </si>
  <si>
    <t>num club</t>
  </si>
  <si>
    <t>nom club</t>
  </si>
  <si>
    <t>Nat</t>
  </si>
  <si>
    <t>Reg</t>
  </si>
  <si>
    <t>total</t>
  </si>
  <si>
    <t>Club</t>
  </si>
  <si>
    <t>Date</t>
  </si>
  <si>
    <t>peage</t>
  </si>
  <si>
    <t>frais JA</t>
  </si>
  <si>
    <t>Num Club</t>
  </si>
  <si>
    <t>Nommé</t>
  </si>
  <si>
    <t>OUI ------ NON</t>
  </si>
  <si>
    <t>défiscalisation</t>
  </si>
  <si>
    <t>rayer la mention inutile</t>
  </si>
  <si>
    <t>defiscal</t>
  </si>
  <si>
    <t>frais defiscalisable</t>
  </si>
  <si>
    <t>frais défiscalisé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</si>
</sst>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#########"/>
    <numFmt numFmtId="165" formatCode="0#&quot; &quot;##&quot; &quot;##&quot; &quot;##&quot; &quot;##"/>
    <numFmt numFmtId="166" formatCode="_-* #,##0_-;\-* #,##0_-;_-* &quot;-&quot;??_-;_-@_-"/>
    <numFmt numFmtId="167" formatCode="_-* #,##0.00\ [$€-40C]_-;\-* #,##0.00\ [$€-40C]_-;_-* &quot;-&quot;??\ [$€-40C]_-;_-@_-"/>
    <numFmt numFmtId="168" formatCode="[$-F800]dddd\,\ mmmm\ dd\,\ yyyy"/>
    <numFmt numFmtId="169" formatCode="#,##0.00\ &quot;€&quot;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9"/>
      <name val="Arial"/>
      <family val="2"/>
    </font>
    <font>
      <b/>
      <sz val="9"/>
      <color indexed="81"/>
      <name val="Tahoma"/>
      <family val="2"/>
    </font>
    <font>
      <sz val="1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8"/>
      <name val="MS Sans Serif"/>
      <family val="2"/>
    </font>
    <font>
      <b/>
      <sz val="10"/>
      <name val="Times New Roman"/>
      <family val="1"/>
    </font>
    <font>
      <sz val="9"/>
      <name val="Times New Roman"/>
      <family val="1"/>
    </font>
    <font>
      <sz val="10"/>
      <name val="Tahoma"/>
      <family val="2"/>
    </font>
    <font>
      <b/>
      <sz val="8"/>
      <color indexed="8"/>
      <name val="Arial"/>
      <family val="2"/>
    </font>
    <font>
      <sz val="11"/>
      <name val="Times New Roman"/>
      <family val="1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rgb="FFFF000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mediumGray"/>
    </fill>
    <fill>
      <patternFill patternType="mediumGray">
        <bgColor theme="3" tint="0.59999389629810485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13" fillId="0" borderId="0" applyNumberFormat="0" applyFill="0" applyBorder="0" applyAlignment="0" applyProtection="0"/>
    <xf numFmtId="0" fontId="16" fillId="0" borderId="0">
      <alignment vertical="center"/>
    </xf>
  </cellStyleXfs>
  <cellXfs count="126">
    <xf numFmtId="0" fontId="0" fillId="0" borderId="0" xfId="0"/>
    <xf numFmtId="0" fontId="2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4" fillId="2" borderId="2" xfId="3" applyFont="1" applyFill="1" applyBorder="1" applyAlignment="1">
      <alignment horizontal="center" vertical="center"/>
    </xf>
    <xf numFmtId="164" fontId="4" fillId="2" borderId="2" xfId="3" applyNumberFormat="1" applyFont="1" applyFill="1" applyBorder="1" applyAlignment="1">
      <alignment horizontal="center" vertical="center"/>
    </xf>
    <xf numFmtId="165" fontId="4" fillId="2" borderId="2" xfId="3" applyNumberFormat="1" applyFont="1" applyFill="1" applyBorder="1" applyAlignment="1">
      <alignment horizontal="center" vertical="center"/>
    </xf>
    <xf numFmtId="49" fontId="4" fillId="2" borderId="2" xfId="3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 wrapText="1"/>
    </xf>
    <xf numFmtId="166" fontId="6" fillId="6" borderId="0" xfId="1" applyNumberFormat="1" applyFont="1" applyFill="1" applyAlignment="1">
      <alignment horizontal="center" vertical="center"/>
    </xf>
    <xf numFmtId="167" fontId="6" fillId="6" borderId="0" xfId="0" applyNumberFormat="1" applyFont="1" applyFill="1" applyAlignment="1">
      <alignment horizontal="center" vertical="center"/>
    </xf>
    <xf numFmtId="167" fontId="7" fillId="6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0" xfId="0" applyNumberFormat="1" applyFont="1"/>
    <xf numFmtId="0" fontId="9" fillId="0" borderId="0" xfId="0" applyFont="1"/>
    <xf numFmtId="165" fontId="9" fillId="0" borderId="0" xfId="0" applyNumberFormat="1" applyFont="1" applyAlignment="1">
      <alignment horizontal="right"/>
    </xf>
    <xf numFmtId="165" fontId="9" fillId="0" borderId="0" xfId="0" applyNumberFormat="1" applyFont="1" applyAlignment="1">
      <alignment horizontal="center"/>
    </xf>
    <xf numFmtId="165" fontId="9" fillId="0" borderId="0" xfId="0" applyNumberFormat="1" applyFont="1"/>
    <xf numFmtId="49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 vertical="center"/>
    </xf>
    <xf numFmtId="167" fontId="2" fillId="0" borderId="0" xfId="0" applyNumberFormat="1" applyFont="1" applyAlignment="1">
      <alignment vertical="center"/>
    </xf>
    <xf numFmtId="0" fontId="2" fillId="7" borderId="3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center"/>
    </xf>
    <xf numFmtId="167" fontId="12" fillId="0" borderId="0" xfId="0" applyNumberFormat="1" applyFont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49" fontId="9" fillId="0" borderId="0" xfId="0" applyNumberFormat="1" applyFont="1" applyAlignment="1">
      <alignment horizontal="left" vertical="center"/>
    </xf>
    <xf numFmtId="0" fontId="2" fillId="10" borderId="3" xfId="0" applyFont="1" applyFill="1" applyBorder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9" fillId="0" borderId="0" xfId="0" applyFont="1" applyAlignment="1">
      <alignment horizontal="right"/>
    </xf>
    <xf numFmtId="165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9" fillId="0" borderId="0" xfId="0" quotePrefix="1" applyNumberFormat="1" applyFont="1" applyAlignment="1">
      <alignment horizontal="center" vertical="center"/>
    </xf>
    <xf numFmtId="49" fontId="9" fillId="0" borderId="0" xfId="0" quotePrefix="1" applyNumberFormat="1" applyFont="1"/>
    <xf numFmtId="0" fontId="14" fillId="0" borderId="0" xfId="4" applyFont="1" applyAlignment="1">
      <alignment horizontal="right"/>
    </xf>
    <xf numFmtId="165" fontId="14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7" fillId="13" borderId="0" xfId="5" applyFont="1" applyFill="1">
      <alignment vertical="center"/>
    </xf>
    <xf numFmtId="0" fontId="16" fillId="14" borderId="0" xfId="5" applyFill="1" applyAlignment="1">
      <alignment horizontal="center" vertical="center"/>
    </xf>
    <xf numFmtId="1" fontId="16" fillId="14" borderId="0" xfId="5" applyNumberFormat="1" applyFill="1" applyAlignment="1">
      <alignment horizontal="center" vertical="center"/>
    </xf>
    <xf numFmtId="1" fontId="0" fillId="0" borderId="0" xfId="1" applyNumberFormat="1" applyFont="1"/>
    <xf numFmtId="0" fontId="18" fillId="0" borderId="0" xfId="5" applyFont="1">
      <alignment vertical="center"/>
    </xf>
    <xf numFmtId="0" fontId="17" fillId="0" borderId="0" xfId="5" applyFont="1">
      <alignment vertical="center"/>
    </xf>
    <xf numFmtId="0" fontId="19" fillId="0" borderId="0" xfId="5" applyFont="1">
      <alignment vertical="center"/>
    </xf>
    <xf numFmtId="0" fontId="18" fillId="0" borderId="0" xfId="5" quotePrefix="1" applyFont="1" applyAlignment="1">
      <alignment horizontal="right" vertical="center"/>
    </xf>
    <xf numFmtId="0" fontId="16" fillId="0" borderId="0" xfId="5">
      <alignment vertical="center"/>
    </xf>
    <xf numFmtId="1" fontId="0" fillId="11" borderId="0" xfId="1" applyNumberFormat="1" applyFont="1" applyFill="1"/>
    <xf numFmtId="0" fontId="18" fillId="0" borderId="0" xfId="5" applyFont="1" applyAlignment="1">
      <alignment horizontal="right" vertical="center"/>
    </xf>
    <xf numFmtId="0" fontId="0" fillId="5" borderId="0" xfId="0" applyFill="1"/>
    <xf numFmtId="1" fontId="0" fillId="5" borderId="0" xfId="1" applyNumberFormat="1" applyFont="1" applyFill="1"/>
    <xf numFmtId="10" fontId="0" fillId="0" borderId="0" xfId="2" applyNumberFormat="1" applyFont="1"/>
    <xf numFmtId="1" fontId="5" fillId="0" borderId="0" xfId="1" applyNumberFormat="1" applyFont="1" applyAlignment="1">
      <alignment horizontal="left" vertical="center"/>
    </xf>
    <xf numFmtId="168" fontId="5" fillId="0" borderId="0" xfId="0" applyNumberFormat="1" applyFont="1" applyAlignment="1">
      <alignment horizontal="center" vertical="center"/>
    </xf>
    <xf numFmtId="0" fontId="20" fillId="0" borderId="0" xfId="5" applyFont="1" applyAlignment="1">
      <alignment horizontal="center" vertical="center"/>
    </xf>
    <xf numFmtId="1" fontId="0" fillId="0" borderId="0" xfId="1" applyNumberFormat="1" applyFont="1" applyAlignment="1">
      <alignment vertical="center"/>
    </xf>
    <xf numFmtId="168" fontId="0" fillId="0" borderId="0" xfId="0" applyNumberFormat="1"/>
    <xf numFmtId="0" fontId="18" fillId="0" borderId="0" xfId="5" quotePrefix="1" applyFont="1" applyAlignment="1">
      <alignment horizontal="left" vertical="center"/>
    </xf>
    <xf numFmtId="0" fontId="21" fillId="0" borderId="0" xfId="5" applyFont="1" applyAlignment="1">
      <alignment horizontal="left" vertical="center"/>
    </xf>
    <xf numFmtId="0" fontId="22" fillId="0" borderId="0" xfId="5" applyFont="1" applyAlignment="1">
      <alignment horizontal="left" vertical="center"/>
    </xf>
    <xf numFmtId="0" fontId="22" fillId="0" borderId="0" xfId="5" applyFont="1">
      <alignment vertical="center"/>
    </xf>
    <xf numFmtId="0" fontId="21" fillId="0" borderId="0" xfId="5" applyFont="1">
      <alignment vertical="center"/>
    </xf>
    <xf numFmtId="0" fontId="20" fillId="0" borderId="0" xfId="5" applyFont="1" applyAlignment="1">
      <alignment horizontal="centerContinuous" vertical="center"/>
    </xf>
    <xf numFmtId="0" fontId="20" fillId="0" borderId="0" xfId="5" applyFont="1">
      <alignment vertical="center"/>
    </xf>
    <xf numFmtId="0" fontId="17" fillId="0" borderId="0" xfId="5" quotePrefix="1" applyFont="1" applyAlignment="1">
      <alignment horizontal="left" vertical="center"/>
    </xf>
    <xf numFmtId="0" fontId="17" fillId="0" borderId="0" xfId="5" applyFont="1" applyAlignment="1">
      <alignment horizontal="left" vertical="center"/>
    </xf>
    <xf numFmtId="0" fontId="16" fillId="0" borderId="0" xfId="5" applyAlignment="1">
      <alignment horizontal="center" vertical="center"/>
    </xf>
    <xf numFmtId="0" fontId="17" fillId="0" borderId="0" xfId="5" applyFont="1" applyAlignment="1">
      <alignment horizontal="right" vertical="center"/>
    </xf>
    <xf numFmtId="0" fontId="16" fillId="0" borderId="0" xfId="5" applyAlignment="1">
      <alignment horizontal="left" vertical="center"/>
    </xf>
    <xf numFmtId="0" fontId="17" fillId="0" borderId="0" xfId="5" applyFont="1" applyAlignment="1">
      <alignment horizontal="centerContinuous" vertical="center"/>
    </xf>
    <xf numFmtId="0" fontId="18" fillId="0" borderId="0" xfId="5" applyFont="1" applyAlignment="1">
      <alignment horizontal="center" vertical="center"/>
    </xf>
    <xf numFmtId="0" fontId="16" fillId="0" borderId="0" xfId="5" applyAlignment="1">
      <alignment horizontal="centerContinuous" vertical="center"/>
    </xf>
    <xf numFmtId="0" fontId="18" fillId="0" borderId="0" xfId="5" applyFont="1" applyAlignment="1">
      <alignment vertical="top"/>
    </xf>
    <xf numFmtId="0" fontId="23" fillId="0" borderId="0" xfId="5" applyFont="1" applyAlignment="1">
      <alignment vertical="center" wrapText="1"/>
    </xf>
    <xf numFmtId="0" fontId="24" fillId="0" borderId="0" xfId="5" applyFont="1" applyAlignment="1">
      <alignment horizontal="center" vertical="center"/>
    </xf>
    <xf numFmtId="0" fontId="17" fillId="0" borderId="0" xfId="5" applyFont="1" applyAlignment="1">
      <alignment horizontal="center" vertical="center"/>
    </xf>
    <xf numFmtId="0" fontId="23" fillId="0" borderId="0" xfId="5" applyFont="1" applyAlignment="1">
      <alignment horizontal="center" vertical="center" wrapText="1"/>
    </xf>
    <xf numFmtId="0" fontId="17" fillId="0" borderId="3" xfId="5" applyFont="1" applyBorder="1" applyAlignment="1">
      <alignment horizontal="center" vertical="center"/>
    </xf>
    <xf numFmtId="169" fontId="16" fillId="0" borderId="3" xfId="5" applyNumberFormat="1" applyBorder="1" applyAlignment="1">
      <alignment horizontal="center" vertical="center"/>
    </xf>
    <xf numFmtId="0" fontId="16" fillId="0" borderId="4" xfId="5" applyBorder="1" applyAlignment="1">
      <alignment horizontal="centerContinuous" vertical="center"/>
    </xf>
    <xf numFmtId="0" fontId="16" fillId="0" borderId="6" xfId="5" applyBorder="1">
      <alignment vertical="center"/>
    </xf>
    <xf numFmtId="169" fontId="16" fillId="0" borderId="3" xfId="5" applyNumberFormat="1" applyBorder="1">
      <alignment vertical="center"/>
    </xf>
    <xf numFmtId="0" fontId="17" fillId="0" borderId="7" xfId="5" applyFont="1" applyBorder="1">
      <alignment vertical="center"/>
    </xf>
    <xf numFmtId="0" fontId="16" fillId="12" borderId="0" xfId="5" applyFill="1" applyAlignment="1">
      <alignment horizontal="left" vertical="center"/>
    </xf>
    <xf numFmtId="49" fontId="0" fillId="0" borderId="0" xfId="0" applyNumberFormat="1"/>
    <xf numFmtId="0" fontId="5" fillId="3" borderId="0" xfId="0" applyFont="1" applyFill="1" applyAlignment="1">
      <alignment horizontal="center" vertical="center" wrapText="1"/>
    </xf>
    <xf numFmtId="0" fontId="26" fillId="0" borderId="0" xfId="0" applyFont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horizontal="center"/>
    </xf>
    <xf numFmtId="168" fontId="0" fillId="11" borderId="0" xfId="0" applyNumberFormat="1" applyFill="1"/>
    <xf numFmtId="168" fontId="0" fillId="5" borderId="0" xfId="0" applyNumberFormat="1" applyFill="1"/>
    <xf numFmtId="0" fontId="27" fillId="0" borderId="0" xfId="5" applyFont="1" applyAlignment="1">
      <alignment horizontal="center" vertical="center"/>
    </xf>
    <xf numFmtId="0" fontId="17" fillId="0" borderId="4" xfId="5" applyFont="1" applyBorder="1" applyAlignment="1">
      <alignment horizontal="center" vertical="center"/>
    </xf>
    <xf numFmtId="0" fontId="17" fillId="0" borderId="5" xfId="5" applyFont="1" applyBorder="1" applyAlignment="1">
      <alignment horizontal="center" vertical="center"/>
    </xf>
    <xf numFmtId="0" fontId="17" fillId="0" borderId="6" xfId="5" applyFont="1" applyBorder="1" applyAlignment="1">
      <alignment horizontal="center" vertic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69" fontId="16" fillId="15" borderId="3" xfId="5" applyNumberFormat="1" applyFill="1" applyBorder="1" applyAlignment="1">
      <alignment horizontal="center" vertical="center"/>
    </xf>
    <xf numFmtId="0" fontId="16" fillId="15" borderId="2" xfId="5" applyFill="1" applyBorder="1" applyAlignment="1">
      <alignment horizontal="centerContinuous" vertical="center"/>
    </xf>
    <xf numFmtId="0" fontId="21" fillId="15" borderId="0" xfId="5" applyFont="1" applyFill="1" applyAlignment="1">
      <alignment horizontal="center" vertical="center"/>
    </xf>
    <xf numFmtId="0" fontId="16" fillId="15" borderId="0" xfId="5" applyFill="1" applyAlignment="1">
      <alignment horizontal="center" vertical="center"/>
    </xf>
    <xf numFmtId="0" fontId="0" fillId="0" borderId="0" xfId="0" applyAlignment="1">
      <alignment horizontal="left" wrapText="1"/>
    </xf>
    <xf numFmtId="167" fontId="7" fillId="6" borderId="0" xfId="0" applyNumberFormat="1" applyFont="1" applyFill="1" applyAlignment="1">
      <alignment horizontal="center" vertical="center" wrapText="1"/>
    </xf>
    <xf numFmtId="167" fontId="0" fillId="0" borderId="0" xfId="0" applyNumberFormat="1"/>
    <xf numFmtId="0" fontId="20" fillId="0" borderId="0" xfId="5" applyFont="1" applyAlignment="1">
      <alignment horizontal="center" vertical="center"/>
    </xf>
    <xf numFmtId="168" fontId="16" fillId="0" borderId="0" xfId="5" applyNumberFormat="1" applyAlignment="1">
      <alignment horizontal="left" vertical="center"/>
    </xf>
    <xf numFmtId="0" fontId="16" fillId="0" borderId="0" xfId="5" applyAlignment="1">
      <alignment horizontal="left" vertical="top" wrapText="1"/>
    </xf>
    <xf numFmtId="0" fontId="21" fillId="15" borderId="0" xfId="5" applyFont="1" applyFill="1" applyAlignment="1">
      <alignment horizontal="center" vertical="center"/>
    </xf>
  </cellXfs>
  <cellStyles count="6">
    <cellStyle name="Lien hypertexte" xfId="4" builtinId="8"/>
    <cellStyle name="Milliers" xfId="1" builtinId="3"/>
    <cellStyle name="Normal" xfId="0" builtinId="0"/>
    <cellStyle name="Normal 2" xfId="3" xr:uid="{DD8F3032-33FA-41B1-A9C2-C1DA2AAB9E54}"/>
    <cellStyle name="Normal_ARB 2-4 saison 2001-2002 2" xfId="5" xr:uid="{DA10088D-0817-4640-96B4-FD3F179B46FA}"/>
    <cellStyle name="Pourcentage" xfId="2" builtinId="5"/>
  </cellStyles>
  <dxfs count="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ill>
        <gradientFill>
          <stop position="0">
            <color rgb="FFFFFF00"/>
          </stop>
          <stop position="1">
            <color rgb="FFFF00FF"/>
          </stop>
        </gradientFill>
      </fill>
    </dxf>
    <dxf>
      <fill>
        <gradientFill>
          <stop position="0">
            <color rgb="FFFF0000"/>
          </stop>
          <stop position="1">
            <color rgb="FFFFFF00"/>
          </stop>
        </gradientFill>
      </fill>
    </dxf>
    <dxf>
      <fill>
        <patternFill>
          <bgColor rgb="FFFF0000"/>
        </patternFill>
      </fill>
    </dxf>
    <dxf>
      <fill>
        <gradientFill>
          <stop position="0">
            <color rgb="FFFF0000"/>
          </stop>
          <stop position="1">
            <color rgb="FFFFFF00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2FE08"/>
        </patternFill>
      </fill>
    </dxf>
    <dxf>
      <fill>
        <patternFill>
          <bgColor rgb="FF00FF0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3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numFmt numFmtId="30" formatCode="@"/>
    </dxf>
    <dxf>
      <numFmt numFmtId="167" formatCode="_-* #,##0.00\ [$€-40C]_-;\-* #,##0.00\ [$€-40C]_-;_-* &quot;-&quot;??\ [$€-40C]_-;_-@_-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7" formatCode="_-* #,##0.00\ [$€-40C]_-;\-* #,##0.00\ [$€-40C]_-;_-* &quot;-&quot;??\ [$€-40C]_-;_-@_-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167" formatCode="_-* #,##0.00\ [$€-40C]_-;\-* #,##0.00\ [$€-40C]_-;_-* &quot;-&quot;??\ [$€-40C]_-;_-@_-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0#&quot; &quot;##&quot; &quot;##&quot; &quot;##&quot; &quot;##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0#&quot; &quot;##&quot; &quot;##&quot; &quot;##&quot; &quot;##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</dxfs>
  <tableStyles count="0" defaultTableStyle="TableStyleMedium2" defaultPivotStyle="PivotStyleLight16"/>
  <colors>
    <mruColors>
      <color rgb="FFFF00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873365</xdr:colOff>
      <xdr:row>1</xdr:row>
      <xdr:rowOff>106680</xdr:rowOff>
    </xdr:from>
    <xdr:to>
      <xdr:col>4</xdr:col>
      <xdr:colOff>381000</xdr:colOff>
      <xdr:row>3</xdr:row>
      <xdr:rowOff>150089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606A0A-4AAE-4674-BA38-C84F589DC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450705" y="289560"/>
          <a:ext cx="1793635" cy="4091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FD22C8-968E-4485-B929-35DABBC879BA}" name="tab_JA" displayName="tab_JA" ref="A1:N299" totalsRowShown="0" headerRowDxfId="92" dataDxfId="90" headerRowBorderDxfId="91" tableBorderDxfId="89">
  <autoFilter ref="A1:N299" xr:uid="{8697FC0D-D2E6-4E46-B8AA-BEE6689BA129}"/>
  <sortState xmlns:xlrd2="http://schemas.microsoft.com/office/spreadsheetml/2017/richdata2" ref="A2:N299">
    <sortCondition ref="A1:A299"/>
  </sortState>
  <tableColumns count="14">
    <tableColumn id="1" xr3:uid="{DDD1425E-D59D-4889-841A-8C8C19660CFA}" name="Code" dataDxfId="88"/>
    <tableColumn id="2" xr3:uid="{00E9DDCB-D2E0-46E7-B2A4-8201B136C879}" name="N_licence" dataDxfId="87"/>
    <tableColumn id="3" xr3:uid="{6D4CAE61-A021-45E6-BE5D-B17EAAD0A481}" name="NOM" dataDxfId="86"/>
    <tableColumn id="4" xr3:uid="{2ED446DB-541C-4D3D-9212-F866A09E26C9}" name="PRENOM" dataDxfId="85"/>
    <tableColumn id="5" xr3:uid="{B1E10149-D857-4239-840E-49DA0CD3A318}" name="ADRESSE" dataDxfId="84"/>
    <tableColumn id="6" xr3:uid="{7FE8767D-892B-44E3-B1BC-1E23CA306047}" name="CP" dataDxfId="83"/>
    <tableColumn id="7" xr3:uid="{7A300DD1-BA0E-4794-BB24-AB59BA97823D}" name="VILLE" dataDxfId="82"/>
    <tableColumn id="8" xr3:uid="{BE5D0E71-46E4-498B-A9F6-1E1A620748DB}" name="e-MAIL" dataDxfId="81"/>
    <tableColumn id="9" xr3:uid="{36714850-9991-4D71-8733-8EE396C00BAC}" name="TEL_DOM" dataDxfId="80"/>
    <tableColumn id="10" xr3:uid="{CB4A6E50-ACF0-4D55-9900-BBF2B2D81465}" name="TEL_POR" dataDxfId="79"/>
    <tableColumn id="11" xr3:uid="{87138FBA-494A-4F59-9935-58B2A8510732}" name="N°_CLUB" dataDxfId="78"/>
    <tableColumn id="12" xr3:uid="{9842373F-C6E0-4C2B-8508-C06CD8B5B9BD}" name="CLUB" dataDxfId="77"/>
    <tableColumn id="13" xr3:uid="{D7668A4B-D3AD-446D-89F7-0F87326E8BA4}" name="prestations" dataDxfId="76">
      <calculatedColumnFormula>_xlfn.XLOOKUP(tab_JA[[#This Row],[Code]],Rencontres_N3_PN_Rx[Code_JA],Rencontres_N3_PN_Rx[prest],0,0)</calculatedColumnFormula>
    </tableColumn>
    <tableColumn id="14" xr3:uid="{31F37B7B-A105-4A20-A4E5-581B91B69662}" name="Grade" dataDxfId="7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1A0CD2-F9E4-4976-9197-B6817D997EBA}" name="Rencontres_N3_PN_Rx" displayName="Rencontres_N3_PN_Rx" ref="A1:X171" totalsRowShown="0" headerRowDxfId="74" dataDxfId="73">
  <autoFilter ref="A1:X171" xr:uid="{A6CCD9F5-759D-49D8-A3E3-038529581A74}"/>
  <tableColumns count="24">
    <tableColumn id="1" xr3:uid="{682F224A-443D-4760-BA9F-64EE06875C85}" name="num_rencontre" dataDxfId="72"/>
    <tableColumn id="2" xr3:uid="{440D95AB-54DE-44BA-AEB9-53091FBC4332}" name="jour_semaine" dataDxfId="71"/>
    <tableColumn id="3" xr3:uid="{1001C8F4-3222-430E-82EE-8EE9D9ECFCD7}" name="Date_rencontre" dataDxfId="70"/>
    <tableColumn id="4" xr3:uid="{A06828F9-0BD5-491D-9492-38DB3F694264}" name="Heure" dataDxfId="69"/>
    <tableColumn id="5" xr3:uid="{04714255-94D3-4BB2-8A42-D05F05C8A1F6}" name="JA à nommer" dataDxfId="68"/>
    <tableColumn id="6" xr3:uid="{1FCFC78C-A2F0-4863-891E-96C6C53F2710}" name="Genre" dataDxfId="67"/>
    <tableColumn id="7" xr3:uid="{0F1743C1-1098-4F68-8ECF-C8BE9B8FE275}" name="Secteur" dataDxfId="66"/>
    <tableColumn id="8" xr3:uid="{AB2185DA-18B7-4E2A-8A40-543EAC9A7E7C}" name="Division" dataDxfId="65"/>
    <tableColumn id="9" xr3:uid="{68A6EDA2-7F17-4F91-BBC7-2B9041872D94}" name="Poule" dataDxfId="64"/>
    <tableColumn id="10" xr3:uid="{B6AA5D98-0678-4BDB-ABE5-9898A3DDC526}" name="Phase" dataDxfId="63"/>
    <tableColumn id="11" xr3:uid="{06D0CA74-BB3F-42F2-8672-BD2E51CBB28A}" name="rang" dataDxfId="62"/>
    <tableColumn id="12" xr3:uid="{CDECF798-388D-44EA-9FD0-35F754DCA328}" name="jour" dataDxfId="61"/>
    <tableColumn id="13" xr3:uid="{3F0BF5FB-CCDA-4E27-91DF-4469CD47C477}" name="Num_club" dataDxfId="60"/>
    <tableColumn id="14" xr3:uid="{48C89861-9302-4171-B370-91CE1DB3D0E4}" name="Equipe 1" dataDxfId="59"/>
    <tableColumn id="15" xr3:uid="{0F4550CC-2DBC-4116-ABC7-7F276E454C93}" name="Equipe 2" dataDxfId="58"/>
    <tableColumn id="16" xr3:uid="{64D97D17-125E-4A4A-A8AA-30F9BC98B905}" name="Dep" dataDxfId="57"/>
    <tableColumn id="17" xr3:uid="{02F2E0D6-C9D3-44DC-9B0B-71856B2381CD}" name="Code_JA" dataDxfId="56"/>
    <tableColumn id="18" xr3:uid="{6F0AFD87-B4B1-4903-9088-A19E1D905F04}" name="Nom Prenom JA" dataDxfId="55">
      <calculatedColumnFormula>IFERROR(VLOOKUP(Rencontres_N3_PN_Rx[[#This Row],[Code_JA]],tab_JA[#All],3,FALSE)&amp;" "&amp;VLOOKUP(Rencontres_N3_PN_Rx[[#This Row],[Code_JA]],tab_JA[#All],4,FALSE),"")</calculatedColumnFormula>
    </tableColumn>
    <tableColumn id="19" xr3:uid="{B0BE8610-5309-47B0-A504-CAB830D901FA}" name="prest" dataDxfId="54">
      <calculatedColumnFormula>IF(Rencontres_N3_PN_Rx[[#This Row],[Code_JA]]&lt;&gt;"",COUNTIF(Rencontres_N3_PN_Rx[Code_JA],Rencontres_N3_PN_Rx[[#This Row],[Code_JA]]),0)</calculatedColumnFormula>
    </tableColumn>
    <tableColumn id="20" xr3:uid="{76011A26-BA8A-4B45-9F19-D2A88D190D94}" name="Peages" dataDxfId="53"/>
    <tableColumn id="21" xr3:uid="{A89BB8D1-A34A-46FA-B4AB-F7DE4269ECA0}" name="KM_JA" dataDxfId="52"/>
    <tableColumn id="22" xr3:uid="{561854E4-715D-4060-9C09-A4D255E79AA8}" name="Frais_JA" dataDxfId="51">
      <calculatedColumnFormula>IF(AND(Rencontres_N3_PN_Rx[[#This Row],[JA à nommer]]="oui",Rencontres_N3_PN_Rx[[#This Row],[Code_JA]]&lt;&gt;""),Rencontres_N3_PN_Rx[[#This Row],[Peages]]+(Rencontres_N3_PN_Rx[[#This Row],[KM_JA]]*0.3)+25,0)</calculatedColumnFormula>
    </tableColumn>
    <tableColumn id="23" xr3:uid="{01FC58B6-02F5-49B3-8B08-144C9ED4F9BC}" name="defiscal" dataDxfId="50"/>
    <tableColumn id="24" xr3:uid="{027158B0-8C3E-4AF7-8A28-49F09F2814EC}" name="frais defiscalisable" dataDxfId="49">
      <calculatedColumnFormula>IF(Rencontres_N3_PN_Rx[[#This Row],[defiscal]]="OUI",Rencontres_N3_PN_Rx[[#This Row],[Peages]]+(Rencontres_N3_PN_Rx[[#This Row],[KM_JA]]*0.3),0)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F74972-5C3F-4913-87A0-BC958BD17E3F}" name="tab_corres" displayName="tab_corres" ref="A1:E238" totalsRowShown="0">
  <autoFilter ref="A1:E238" xr:uid="{9FE77E21-AD70-4F34-A313-A14B3DC8F27C}"/>
  <sortState xmlns:xlrd2="http://schemas.microsoft.com/office/spreadsheetml/2017/richdata2" ref="A2:E116">
    <sortCondition ref="A1:A116"/>
  </sortState>
  <tableColumns count="5">
    <tableColumn id="1" xr3:uid="{2CCC2417-9DFD-40F7-A809-D0CD0C869E70}" name="N° Club"/>
    <tableColumn id="2" xr3:uid="{23C15312-7921-4362-A5EC-1462A9D7F620}" name="nom_prenom_corres"/>
    <tableColumn id="3" xr3:uid="{1E7C811A-0AF1-4733-A562-56F1AD17C21E}" name="tel_corres" dataDxfId="48"/>
    <tableColumn id="4" xr3:uid="{E2932130-1108-4E47-A12A-269A31B8BD9E}" name="mail_corres"/>
    <tableColumn id="5" xr3:uid="{D5317703-60B7-4F8B-A2A0-37C63E8F63B9}" name="ADRESSE SALLE" dataDxfId="4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9D8D43-95DF-4380-8FFA-E2406C7711A1}" name="liste_salles" displayName="liste_salles" ref="A1:H115" totalsRowShown="0">
  <autoFilter ref="A1:H115" xr:uid="{0DF2465B-14DC-4E68-83FC-2E67E16AFE26}"/>
  <sortState xmlns:xlrd2="http://schemas.microsoft.com/office/spreadsheetml/2017/richdata2" ref="A2:H115">
    <sortCondition ref="C1:C115"/>
  </sortState>
  <tableColumns count="8">
    <tableColumn id="1" xr3:uid="{7CB38647-EBA2-4402-BAF4-0C5A9379EF50}" name="Dep" dataDxfId="46"/>
    <tableColumn id="3" xr3:uid="{1F5AA2D3-B026-46CD-A2BB-0BFF6E90E34F}" name="Nom_club" dataDxfId="45"/>
    <tableColumn id="2" xr3:uid="{D0BF5DF4-76C9-4857-A23D-D54D963D2E71}" name="Num_club" dataDxfId="44"/>
    <tableColumn id="20" xr3:uid="{8C00CD15-4A92-4C16-9F9D-3DB367CF0E3C}" name="prenom_nom_corr" dataDxfId="43"/>
    <tableColumn id="21" xr3:uid="{F4C5AD45-61E3-4E56-AD88-47388124E279}" name="port_corr" dataDxfId="42"/>
    <tableColumn id="35" xr3:uid="{DBD10E74-79FC-4000-BD43-DE70B334FA5C}" name="mail_corr" dataDxfId="41"/>
    <tableColumn id="5" xr3:uid="{D13B64C9-0062-49F4-B8EB-0E5185A98907}" name="adress_salle"/>
    <tableColumn id="23" xr3:uid="{08F6D409-67A9-4B61-B99C-DEBDAF24D53C}" name="tel_salle" dataDxfId="4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5F263-8FBB-4B5A-A9FE-25CB162C0F3B}">
  <sheetPr codeName="Feuil1"/>
  <dimension ref="A1:AF299"/>
  <sheetViews>
    <sheetView topLeftCell="N12" workbookViewId="0">
      <selection activeCell="W13" sqref="W13"/>
    </sheetView>
  </sheetViews>
  <sheetFormatPr baseColWidth="10" defaultColWidth="11.42578125" defaultRowHeight="15" x14ac:dyDescent="0.25"/>
  <cols>
    <col min="1" max="1" width="6.7109375" style="30" bestFit="1" customWidth="1"/>
    <col min="2" max="2" width="9.85546875" style="50" bestFit="1" customWidth="1"/>
    <col min="3" max="3" width="17.42578125" style="7" customWidth="1"/>
    <col min="4" max="4" width="11.7109375" style="7" bestFit="1" customWidth="1"/>
    <col min="5" max="5" width="48.7109375" style="7" hidden="1" customWidth="1"/>
    <col min="6" max="6" width="7.28515625" style="30" hidden="1" customWidth="1"/>
    <col min="7" max="7" width="27.28515625" style="7" hidden="1" customWidth="1"/>
    <col min="8" max="8" width="32.7109375" style="7" hidden="1" customWidth="1"/>
    <col min="9" max="9" width="12" style="30" hidden="1" customWidth="1"/>
    <col min="10" max="10" width="11.85546875" style="30" hidden="1" customWidth="1"/>
    <col min="11" max="11" width="11.42578125" style="50" bestFit="1" customWidth="1"/>
    <col min="12" max="12" width="34" style="7" bestFit="1" customWidth="1"/>
    <col min="13" max="13" width="10.7109375" style="7" bestFit="1" customWidth="1"/>
    <col min="14" max="14" width="7.85546875" style="7" customWidth="1"/>
    <col min="15" max="15" width="5.28515625" style="7" customWidth="1"/>
    <col min="16" max="16" width="18.5703125" style="7" customWidth="1"/>
    <col min="17" max="17" width="5.7109375" style="7" customWidth="1"/>
    <col min="18" max="18" width="13.7109375" style="30" customWidth="1"/>
    <col min="19" max="21" width="14.7109375" style="30" customWidth="1"/>
    <col min="22" max="22" width="4" style="30" customWidth="1"/>
    <col min="23" max="23" width="7" style="30" bestFit="1" customWidth="1"/>
    <col min="24" max="24" width="8.28515625" style="49" bestFit="1" customWidth="1"/>
    <col min="25" max="25" width="20.7109375" style="32" bestFit="1" customWidth="1"/>
    <col min="26" max="26" width="9.7109375" style="33" bestFit="1" customWidth="1"/>
    <col min="27" max="27" width="8.42578125" style="33" bestFit="1" customWidth="1"/>
    <col min="28" max="28" width="6" style="33" bestFit="1" customWidth="1"/>
    <col min="29" max="29" width="6.85546875" style="33" bestFit="1" customWidth="1"/>
    <col min="30" max="30" width="9.85546875" style="34" customWidth="1"/>
    <col min="31" max="31" width="12.28515625" style="121" customWidth="1"/>
    <col min="32" max="32" width="8.85546875" style="7" customWidth="1"/>
    <col min="33" max="16384" width="11.42578125" style="7"/>
  </cols>
  <sheetData>
    <row r="1" spans="1:32" ht="30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3" t="s">
        <v>11</v>
      </c>
      <c r="M1" s="1" t="s">
        <v>12</v>
      </c>
      <c r="N1" s="1" t="s">
        <v>13</v>
      </c>
      <c r="P1" s="98" t="str" cm="1">
        <f t="array" aca="1" ref="P1" ca="1">TEXT(SUM(total_frais_JA),"00,00 €")&amp;" : Total des frais des "&amp;COUNTIF(total_frais_JA,"&gt;0")&amp;" JA"</f>
        <v>39,23 € : Total des frais des 33 JA</v>
      </c>
      <c r="Q1" s="8">
        <v>50</v>
      </c>
      <c r="R1" s="9" t="str">
        <f>IF(departement&lt;&gt;"",COUNTIF(tab_JA[N°_CLUB],"??"&amp;departement&amp;"????")&amp;" JA du D"&amp;departement,"")</f>
        <v>67 JA du D50</v>
      </c>
      <c r="S1" s="10" t="s">
        <v>14</v>
      </c>
      <c r="T1" s="10" t="s">
        <v>15</v>
      </c>
      <c r="U1" s="10" t="s">
        <v>16</v>
      </c>
      <c r="V1" s="11"/>
      <c r="W1" s="12" t="s">
        <v>17</v>
      </c>
      <c r="X1" s="13" t="s">
        <v>18</v>
      </c>
      <c r="Y1" s="14" t="s">
        <v>19</v>
      </c>
      <c r="Z1" s="15" t="s">
        <v>20</v>
      </c>
      <c r="AA1" s="15" t="s">
        <v>21</v>
      </c>
      <c r="AB1" s="16" t="s">
        <v>22</v>
      </c>
      <c r="AC1" s="17" t="s">
        <v>23</v>
      </c>
      <c r="AD1" s="18" t="s">
        <v>24</v>
      </c>
      <c r="AE1" s="120" t="s">
        <v>4147</v>
      </c>
      <c r="AF1" s="11"/>
    </row>
    <row r="2" spans="1:32" ht="15" customHeight="1" x14ac:dyDescent="0.25">
      <c r="A2" s="19" t="s">
        <v>25</v>
      </c>
      <c r="B2" s="20" t="s">
        <v>26</v>
      </c>
      <c r="C2" s="21" t="s">
        <v>27</v>
      </c>
      <c r="D2" s="21" t="s">
        <v>28</v>
      </c>
      <c r="E2" s="21" t="s">
        <v>29</v>
      </c>
      <c r="F2" s="19">
        <v>61100</v>
      </c>
      <c r="G2" s="21" t="s">
        <v>30</v>
      </c>
      <c r="H2" s="22" t="s">
        <v>31</v>
      </c>
      <c r="I2" s="23" t="s">
        <v>32</v>
      </c>
      <c r="J2" s="24" t="s">
        <v>33</v>
      </c>
      <c r="K2" s="25" t="s">
        <v>34</v>
      </c>
      <c r="L2" s="21" t="s">
        <v>35</v>
      </c>
      <c r="M2" s="19">
        <f>_xlfn.XLOOKUP(tab_JA[[#This Row],[Code]],Rencontres_N3_PN_Rx[Code_JA],Rencontres_N3_PN_Rx[prest],0,0)</f>
        <v>0</v>
      </c>
      <c r="N2" s="19" t="s">
        <v>36</v>
      </c>
      <c r="O2" s="26"/>
      <c r="P2" s="27">
        <f>SUMIF(Rencontres_N3_PN_Rx[Code_JA],tab_JA[[#This Row],[Code]],Rencontres_N3_PN_Rx[Frais_JA])</f>
        <v>0</v>
      </c>
      <c r="Q2" s="28"/>
      <c r="R2" s="29" t="str">
        <f>IF(departement1&lt;&gt;"",COUNTIF(tab_JA[N°_CLUB],"??"&amp;departement1&amp;"????")&amp;" JA du D"&amp;departement1,"")</f>
        <v/>
      </c>
      <c r="S2" s="30" t="str" cm="1">
        <f t="array" ref="S2:U68">_xlfn._xlws.FILTER(CHOOSE({1,2,3},tab_JA[Code],tab_JA[NOM],tab_JA[PRENOM]),(VALUE(MID(tab_JA[N°_CLUB],3,2))=departement)+(VALUE(MID(tab_JA[N°_CLUB],3,2))=departement1)+(VALUE(MID(tab_JA[N°_CLUB],3,2))=departement2)+(VALUE(MID(tab_JA[N°_CLUB],3,2))=departement3)+(VALUE(MID(tab_JA[N°_CLUB],3,2))=departement4),"pas de JA")</f>
        <v>ADJE</v>
      </c>
      <c r="T2" s="30" t="str">
        <v>ADDE</v>
      </c>
      <c r="U2" s="30" t="str">
        <v>Jean-Paul</v>
      </c>
      <c r="W2" s="31" t="str">
        <f>IF(X2&lt;&gt;"",_xlfn.XLOOKUP(X2,tab_JA[Code],tab_JA[N_licence],"so"),"")</f>
        <v>506584</v>
      </c>
      <c r="X2" s="32" t="str" cm="1">
        <f t="array" ref="X2:Z34">_xlfn.UNIQUE(_xlfn._xlws.SORT(_xlfn._xlws.FILTER(CHOOSE({1,2,3},Rencontres_N3_PN_Rx[Code_JA],Rencontres_N3_PN_Rx[Nom Prenom JA],Rencontres_N3_PN_Rx[prest]),Rencontres_N3_PN_Rx[Frais_JA]&lt;&gt;0,"pas de prestations"),3,-1))</f>
        <v>GODO</v>
      </c>
      <c r="Y2" s="32" t="str">
        <v>GOUTTE Dominique</v>
      </c>
      <c r="Z2" s="33">
        <v>12</v>
      </c>
      <c r="AA2" s="33">
        <f>IF(X2&lt;&gt;"",COUNTIFS(Rencontres_N3_PN_Rx[Code_JA],X2,Rencontres_N3_PN_Rx[JA à nommer],"OUI"),"")</f>
        <v>12</v>
      </c>
      <c r="AB2" s="33">
        <f>IF(X2&lt;&gt;"",SUMIF(Rencontres_N3_PN_Rx[Code_JA],X2,Rencontres_N3_PN_Rx[KM_JA]),"")</f>
        <v>820</v>
      </c>
      <c r="AC2" s="33">
        <f>IF(X2&lt;&gt;"",SUMIF(Rencontres_N3_PN_Rx[Code_JA],X2,Rencontres_N3_PN_Rx[Peages]),"")</f>
        <v>0</v>
      </c>
      <c r="AD2" s="34">
        <f>IF(X2&lt;&gt;"",SUMIF(Rencontres_N3_PN_Rx[Code_JA],X2,Rencontres_N3_PN_Rx[Frais_JA])-SUMIF(Rencontres_N3_PN_Rx[Code_JA],X2,Rencontres_N3_PN_Rx[frais defiscalisable]),"")</f>
        <v>507</v>
      </c>
      <c r="AE2" s="121">
        <f>IF(X2&lt;&gt;"",SUMIF(Rencontres_N3_PN_Rx[Code_JA],X2,Rencontres_N3_PN_Rx[frais defiscalisable]),"")</f>
        <v>39</v>
      </c>
    </row>
    <row r="3" spans="1:32" ht="15" customHeight="1" x14ac:dyDescent="0.25">
      <c r="A3" s="19" t="s">
        <v>37</v>
      </c>
      <c r="B3" s="20" t="s">
        <v>38</v>
      </c>
      <c r="C3" s="21" t="s">
        <v>39</v>
      </c>
      <c r="D3" s="21" t="s">
        <v>40</v>
      </c>
      <c r="E3" s="21" t="s">
        <v>41</v>
      </c>
      <c r="F3" s="19">
        <v>50340</v>
      </c>
      <c r="G3" s="21" t="s">
        <v>42</v>
      </c>
      <c r="H3" s="22" t="s">
        <v>43</v>
      </c>
      <c r="I3" s="23" t="s">
        <v>44</v>
      </c>
      <c r="J3" s="24"/>
      <c r="K3" s="25" t="s">
        <v>45</v>
      </c>
      <c r="L3" s="21" t="s">
        <v>46</v>
      </c>
      <c r="M3" s="19">
        <f>_xlfn.XLOOKUP(tab_JA[[#This Row],[Code]],Rencontres_N3_PN_Rx[Code_JA],Rencontres_N3_PN_Rx[prest],0,0)</f>
        <v>3</v>
      </c>
      <c r="N3" s="19" t="s">
        <v>36</v>
      </c>
      <c r="O3" s="26"/>
      <c r="P3" s="27">
        <f>SUMIF(Rencontres_N3_PN_Rx[Code_JA],tab_JA[[#This Row],[Code]],Rencontres_N3_PN_Rx[Frais_JA])</f>
        <v>109.19999999999999</v>
      </c>
      <c r="Q3" s="35"/>
      <c r="R3" s="36" t="str">
        <f>IF(departement2&lt;&gt;"",COUNTIF(tab_JA[N°_CLUB],"??"&amp;departement2&amp;"????")&amp;" JA du D"&amp;departement2,"")</f>
        <v/>
      </c>
      <c r="S3" s="30" t="str">
        <v>AZDI</v>
      </c>
      <c r="T3" s="30" t="str">
        <v>AZE</v>
      </c>
      <c r="U3" s="30" t="str">
        <v>Didier</v>
      </c>
      <c r="W3" s="31" t="str">
        <f>IF(X3&lt;&gt;"",_xlfn.XLOOKUP(X3,tab_JA[Code],tab_JA[N_licence],"so"),"")</f>
        <v>5018150</v>
      </c>
      <c r="X3" s="32" t="str">
        <v>JOCO</v>
      </c>
      <c r="Y3" s="32" t="str">
        <v>JOUIN JEHAN Corentin</v>
      </c>
      <c r="Z3" s="33">
        <v>9</v>
      </c>
      <c r="AA3" s="33">
        <f>IF(X3&lt;&gt;"",COUNTIFS(Rencontres_N3_PN_Rx[Code_JA],X3,Rencontres_N3_PN_Rx[JA à nommer],"OUI"),"")</f>
        <v>5</v>
      </c>
      <c r="AB3" s="33">
        <f>IF(X3&lt;&gt;"",SUMIF(Rencontres_N3_PN_Rx[Code_JA],X3,Rencontres_N3_PN_Rx[KM_JA]),"")</f>
        <v>159.4</v>
      </c>
      <c r="AC3" s="33">
        <f>IF(X3&lt;&gt;"",SUMIF(Rencontres_N3_PN_Rx[Code_JA],X3,Rencontres_N3_PN_Rx[Peages]),"")</f>
        <v>0</v>
      </c>
      <c r="AD3" s="34">
        <f>IF(X3&lt;&gt;"",SUMIF(Rencontres_N3_PN_Rx[Code_JA],X3,Rencontres_N3_PN_Rx[Frais_JA])-SUMIF(Rencontres_N3_PN_Rx[Code_JA],X3,Rencontres_N3_PN_Rx[frais defiscalisable]),"")</f>
        <v>172.82</v>
      </c>
      <c r="AE3" s="121">
        <f>IF(X3&lt;&gt;"",SUMIF(Rencontres_N3_PN_Rx[Code_JA],X3,Rencontres_N3_PN_Rx[frais defiscalisable]),"")</f>
        <v>0</v>
      </c>
    </row>
    <row r="4" spans="1:32" ht="15" customHeight="1" x14ac:dyDescent="0.25">
      <c r="A4" s="19" t="s">
        <v>47</v>
      </c>
      <c r="B4" s="20" t="s">
        <v>48</v>
      </c>
      <c r="C4" s="21" t="s">
        <v>49</v>
      </c>
      <c r="D4" s="21" t="s">
        <v>50</v>
      </c>
      <c r="E4" s="21" t="s">
        <v>51</v>
      </c>
      <c r="F4" s="19">
        <v>14760</v>
      </c>
      <c r="G4" s="21" t="s">
        <v>52</v>
      </c>
      <c r="H4" s="22" t="s">
        <v>53</v>
      </c>
      <c r="I4" s="23" t="s">
        <v>54</v>
      </c>
      <c r="J4" s="23" t="s">
        <v>55</v>
      </c>
      <c r="K4" s="25" t="s">
        <v>56</v>
      </c>
      <c r="L4" s="21" t="s">
        <v>57</v>
      </c>
      <c r="M4" s="19">
        <f>_xlfn.XLOOKUP(tab_JA[[#This Row],[Code]],Rencontres_N3_PN_Rx[Code_JA],Rencontres_N3_PN_Rx[prest],0,0)</f>
        <v>0</v>
      </c>
      <c r="N4" s="19" t="s">
        <v>36</v>
      </c>
      <c r="O4" s="26"/>
      <c r="P4" s="27">
        <f>SUMIF(Rencontres_N3_PN_Rx[Code_JA],tab_JA[[#This Row],[Code]],Rencontres_N3_PN_Rx[Frais_JA])</f>
        <v>0</v>
      </c>
      <c r="Q4" s="37"/>
      <c r="R4" s="38" t="str">
        <f>IF(departement3&lt;&gt;"",COUNTIF(tab_JA[N°_CLUB],"??"&amp;departement3&amp;"????")&amp;" JA du D"&amp;departement3,"")</f>
        <v/>
      </c>
      <c r="S4" s="30" t="str">
        <v>BANA</v>
      </c>
      <c r="T4" s="30" t="str">
        <v>BASTIEN</v>
      </c>
      <c r="U4" s="30" t="str">
        <v>Natacha</v>
      </c>
      <c r="W4" s="31" t="str">
        <f>IF(X4&lt;&gt;"",_xlfn.XLOOKUP(X4,tab_JA[Code],tab_JA[N_licence],"so"),"")</f>
        <v>507345</v>
      </c>
      <c r="X4" s="32" t="str">
        <v>REPA</v>
      </c>
      <c r="Y4" s="32" t="str">
        <v>RELET Pascal</v>
      </c>
      <c r="Z4" s="33">
        <v>9</v>
      </c>
      <c r="AA4" s="33">
        <f>IF(X4&lt;&gt;"",COUNTIFS(Rencontres_N3_PN_Rx[Code_JA],X4,Rencontres_N3_PN_Rx[JA à nommer],"OUI"),"")</f>
        <v>8</v>
      </c>
      <c r="AB4" s="33">
        <f>IF(X4&lt;&gt;"",SUMIF(Rencontres_N3_PN_Rx[Code_JA],X4,Rencontres_N3_PN_Rx[KM_JA]),"")</f>
        <v>20</v>
      </c>
      <c r="AC4" s="33">
        <f>IF(X4&lt;&gt;"",SUMIF(Rencontres_N3_PN_Rx[Code_JA],X4,Rencontres_N3_PN_Rx[Peages]),"")</f>
        <v>0</v>
      </c>
      <c r="AD4" s="34">
        <f>IF(X4&lt;&gt;"",SUMIF(Rencontres_N3_PN_Rx[Code_JA],X4,Rencontres_N3_PN_Rx[Frais_JA])-SUMIF(Rencontres_N3_PN_Rx[Code_JA],X4,Rencontres_N3_PN_Rx[frais defiscalisable]),"")</f>
        <v>206</v>
      </c>
      <c r="AE4" s="121">
        <f>IF(X4&lt;&gt;"",SUMIF(Rencontres_N3_PN_Rx[Code_JA],X4,Rencontres_N3_PN_Rx[frais defiscalisable]),"")</f>
        <v>0</v>
      </c>
    </row>
    <row r="5" spans="1:32" ht="15" customHeight="1" x14ac:dyDescent="0.25">
      <c r="A5" s="19" t="s">
        <v>58</v>
      </c>
      <c r="B5" s="39" t="s">
        <v>59</v>
      </c>
      <c r="C5" s="21" t="s">
        <v>60</v>
      </c>
      <c r="D5" s="21" t="s">
        <v>61</v>
      </c>
      <c r="E5" s="21" t="s">
        <v>62</v>
      </c>
      <c r="F5" s="19">
        <v>14000</v>
      </c>
      <c r="G5" s="21" t="s">
        <v>63</v>
      </c>
      <c r="H5" s="22" t="s">
        <v>64</v>
      </c>
      <c r="I5" s="23" t="s">
        <v>65</v>
      </c>
      <c r="J5" s="24" t="s">
        <v>65</v>
      </c>
      <c r="K5" s="25" t="s">
        <v>66</v>
      </c>
      <c r="L5" s="21" t="s">
        <v>67</v>
      </c>
      <c r="M5" s="19">
        <f>_xlfn.XLOOKUP(tab_JA[[#This Row],[Code]],Rencontres_N3_PN_Rx[Code_JA],Rencontres_N3_PN_Rx[prest],0,0)</f>
        <v>0</v>
      </c>
      <c r="N5" s="19" t="s">
        <v>36</v>
      </c>
      <c r="O5" s="26"/>
      <c r="P5" s="27">
        <f>SUMIF(Rencontres_N3_PN_Rx[Code_JA],tab_JA[[#This Row],[Code]],Rencontres_N3_PN_Rx[Frais_JA])</f>
        <v>0</v>
      </c>
      <c r="Q5" s="40"/>
      <c r="R5" s="41" t="str">
        <f>IF(departement4&lt;&gt;"",COUNTIF(tab_JA[N°_CLUB],"??"&amp;departement4&amp;"????")&amp;" JA du D"&amp;departement4,"")</f>
        <v/>
      </c>
      <c r="S5" s="30" t="str">
        <v>BARO</v>
      </c>
      <c r="T5" s="30" t="str">
        <v>BASTIEN</v>
      </c>
      <c r="U5" s="30" t="str">
        <v>Romain</v>
      </c>
      <c r="W5" s="31" t="str">
        <f>IF(X5&lt;&gt;"",_xlfn.XLOOKUP(X5,tab_JA[Code],tab_JA[N_licence],"so"),"")</f>
        <v>5023878</v>
      </c>
      <c r="X5" s="32" t="str">
        <v>LUST</v>
      </c>
      <c r="Y5" s="32" t="str">
        <v>LUCAS Stephanie</v>
      </c>
      <c r="Z5" s="33">
        <v>7</v>
      </c>
      <c r="AA5" s="33">
        <f>IF(X5&lt;&gt;"",COUNTIFS(Rencontres_N3_PN_Rx[Code_JA],X5,Rencontres_N3_PN_Rx[JA à nommer],"OUI"),"")</f>
        <v>6</v>
      </c>
      <c r="AB5" s="33">
        <f>IF(X5&lt;&gt;"",SUMIF(Rencontres_N3_PN_Rx[Code_JA],X5,Rencontres_N3_PN_Rx[KM_JA]),"")</f>
        <v>52.4</v>
      </c>
      <c r="AC5" s="33">
        <f>IF(X5&lt;&gt;"",SUMIF(Rencontres_N3_PN_Rx[Code_JA],X5,Rencontres_N3_PN_Rx[Peages]),"")</f>
        <v>0</v>
      </c>
      <c r="AD5" s="34">
        <f>IF(X5&lt;&gt;"",SUMIF(Rencontres_N3_PN_Rx[Code_JA],X5,Rencontres_N3_PN_Rx[Frais_JA])-SUMIF(Rencontres_N3_PN_Rx[Code_JA],X5,Rencontres_N3_PN_Rx[frais defiscalisable]),"")</f>
        <v>165.72</v>
      </c>
      <c r="AE5" s="121">
        <f>IF(X5&lt;&gt;"",SUMIF(Rencontres_N3_PN_Rx[Code_JA],X5,Rencontres_N3_PN_Rx[frais defiscalisable]),"")</f>
        <v>0</v>
      </c>
    </row>
    <row r="6" spans="1:32" ht="15" customHeight="1" x14ac:dyDescent="0.25">
      <c r="A6" s="19" t="s">
        <v>68</v>
      </c>
      <c r="B6" s="39" t="s">
        <v>69</v>
      </c>
      <c r="C6" s="21" t="s">
        <v>70</v>
      </c>
      <c r="D6" s="21" t="s">
        <v>71</v>
      </c>
      <c r="E6" s="21" t="s">
        <v>72</v>
      </c>
      <c r="F6" s="19">
        <v>27180</v>
      </c>
      <c r="G6" s="21" t="s">
        <v>73</v>
      </c>
      <c r="H6" s="22" t="s">
        <v>74</v>
      </c>
      <c r="I6" s="23" t="s">
        <v>75</v>
      </c>
      <c r="J6" s="24" t="s">
        <v>76</v>
      </c>
      <c r="K6" s="25" t="s">
        <v>77</v>
      </c>
      <c r="L6" s="21" t="s">
        <v>78</v>
      </c>
      <c r="M6" s="19">
        <f>_xlfn.XLOOKUP(tab_JA[[#This Row],[Code]],Rencontres_N3_PN_Rx[Code_JA],Rencontres_N3_PN_Rx[prest],0,0)</f>
        <v>0</v>
      </c>
      <c r="N6" s="19" t="s">
        <v>36</v>
      </c>
      <c r="O6" s="26"/>
      <c r="P6" s="27">
        <f>SUMIF(Rencontres_N3_PN_Rx[Code_JA],tab_JA[[#This Row],[Code]],Rencontres_N3_PN_Rx[Frais_JA])</f>
        <v>0</v>
      </c>
      <c r="S6" s="30" t="str">
        <v>BECH</v>
      </c>
      <c r="T6" s="30" t="str">
        <v>BENARD</v>
      </c>
      <c r="U6" s="30" t="str">
        <v>Christophe</v>
      </c>
      <c r="W6" s="31" t="str">
        <f>IF(X6&lt;&gt;"",_xlfn.XLOOKUP(X6,tab_JA[Code],tab_JA[N_licence],"so"),"")</f>
        <v>507696</v>
      </c>
      <c r="X6" s="32" t="str">
        <v>TRAN</v>
      </c>
      <c r="Y6" s="32" t="str">
        <v>TRAVES Annie</v>
      </c>
      <c r="Z6" s="33">
        <v>7</v>
      </c>
      <c r="AA6" s="33">
        <f>IF(X6&lt;&gt;"",COUNTIFS(Rencontres_N3_PN_Rx[Code_JA],X6,Rencontres_N3_PN_Rx[JA à nommer],"OUI"),"")</f>
        <v>4</v>
      </c>
      <c r="AB6" s="33">
        <f>IF(X6&lt;&gt;"",SUMIF(Rencontres_N3_PN_Rx[Code_JA],X6,Rencontres_N3_PN_Rx[KM_JA]),"")</f>
        <v>240</v>
      </c>
      <c r="AC6" s="33">
        <f>IF(X6&lt;&gt;"",SUMIF(Rencontres_N3_PN_Rx[Code_JA],X6,Rencontres_N3_PN_Rx[Peages]),"")</f>
        <v>0</v>
      </c>
      <c r="AD6" s="34">
        <f>IF(X6&lt;&gt;"",SUMIF(Rencontres_N3_PN_Rx[Code_JA],X6,Rencontres_N3_PN_Rx[Frais_JA])-SUMIF(Rencontres_N3_PN_Rx[Code_JA],X6,Rencontres_N3_PN_Rx[frais defiscalisable]),"")</f>
        <v>172</v>
      </c>
      <c r="AE6" s="121">
        <f>IF(X6&lt;&gt;"",SUMIF(Rencontres_N3_PN_Rx[Code_JA],X6,Rencontres_N3_PN_Rx[frais defiscalisable]),"")</f>
        <v>0</v>
      </c>
    </row>
    <row r="7" spans="1:32" ht="15" customHeight="1" x14ac:dyDescent="0.25">
      <c r="A7" s="19" t="s">
        <v>79</v>
      </c>
      <c r="B7" s="20" t="s">
        <v>80</v>
      </c>
      <c r="C7" s="21" t="s">
        <v>81</v>
      </c>
      <c r="D7" s="21" t="s">
        <v>82</v>
      </c>
      <c r="E7" s="21" t="s">
        <v>83</v>
      </c>
      <c r="F7" s="19">
        <v>76570</v>
      </c>
      <c r="G7" s="21" t="s">
        <v>84</v>
      </c>
      <c r="H7" s="42" t="s">
        <v>85</v>
      </c>
      <c r="I7" s="43" t="s">
        <v>86</v>
      </c>
      <c r="J7" s="43" t="s">
        <v>87</v>
      </c>
      <c r="K7" s="44" t="s">
        <v>88</v>
      </c>
      <c r="L7" s="21" t="s">
        <v>89</v>
      </c>
      <c r="M7" s="19">
        <f>_xlfn.XLOOKUP(tab_JA[[#This Row],[Code]],Rencontres_N3_PN_Rx[Code_JA],Rencontres_N3_PN_Rx[prest],0,0)</f>
        <v>0</v>
      </c>
      <c r="N7" s="19" t="s">
        <v>36</v>
      </c>
      <c r="O7" s="26"/>
      <c r="P7" s="27">
        <f>SUMIF(Rencontres_N3_PN_Rx[Code_JA],tab_JA[[#This Row],[Code]],Rencontres_N3_PN_Rx[Frais_JA])</f>
        <v>0</v>
      </c>
      <c r="S7" s="30" t="str">
        <v>BEMO</v>
      </c>
      <c r="T7" s="30" t="str">
        <v>BELHOSTE</v>
      </c>
      <c r="U7" s="30" t="str">
        <v>Morgane</v>
      </c>
      <c r="W7" s="31" t="str">
        <f>IF(X7&lt;&gt;"",_xlfn.XLOOKUP(X7,tab_JA[Code],tab_JA[N_licence],"so"),"")</f>
        <v>502203</v>
      </c>
      <c r="X7" s="32" t="str">
        <v>JOJE</v>
      </c>
      <c r="Y7" s="32" t="str">
        <v>JOURDAIN Jean-Francois</v>
      </c>
      <c r="Z7" s="33">
        <v>6</v>
      </c>
      <c r="AA7" s="33">
        <f>IF(X7&lt;&gt;"",COUNTIFS(Rencontres_N3_PN_Rx[Code_JA],X7,Rencontres_N3_PN_Rx[JA à nommer],"OUI"),"")</f>
        <v>6</v>
      </c>
      <c r="AB7" s="33">
        <f>IF(X7&lt;&gt;"",SUMIF(Rencontres_N3_PN_Rx[Code_JA],X7,Rencontres_N3_PN_Rx[KM_JA]),"")</f>
        <v>318</v>
      </c>
      <c r="AC7" s="33">
        <f>IF(X7&lt;&gt;"",SUMIF(Rencontres_N3_PN_Rx[Code_JA],X7,Rencontres_N3_PN_Rx[Peages]),"")</f>
        <v>0</v>
      </c>
      <c r="AD7" s="34">
        <f>IF(X7&lt;&gt;"",SUMIF(Rencontres_N3_PN_Rx[Code_JA],X7,Rencontres_N3_PN_Rx[Frais_JA])-SUMIF(Rencontres_N3_PN_Rx[Code_JA],X7,Rencontres_N3_PN_Rx[frais defiscalisable]),"")</f>
        <v>245.39999999999998</v>
      </c>
      <c r="AE7" s="121">
        <f>IF(X7&lt;&gt;"",SUMIF(Rencontres_N3_PN_Rx[Code_JA],X7,Rencontres_N3_PN_Rx[frais defiscalisable]),"")</f>
        <v>0</v>
      </c>
    </row>
    <row r="8" spans="1:32" ht="15" customHeight="1" x14ac:dyDescent="0.25">
      <c r="A8" s="19" t="s">
        <v>90</v>
      </c>
      <c r="B8" s="20" t="s">
        <v>91</v>
      </c>
      <c r="C8" s="21" t="s">
        <v>92</v>
      </c>
      <c r="D8" s="21" t="s">
        <v>93</v>
      </c>
      <c r="E8" s="21" t="s">
        <v>94</v>
      </c>
      <c r="F8" s="19">
        <v>50420</v>
      </c>
      <c r="G8" s="21" t="s">
        <v>95</v>
      </c>
      <c r="H8" s="42" t="s">
        <v>96</v>
      </c>
      <c r="I8" s="43" t="s">
        <v>97</v>
      </c>
      <c r="J8" s="43" t="s">
        <v>97</v>
      </c>
      <c r="K8" s="44" t="s">
        <v>98</v>
      </c>
      <c r="L8" s="21" t="s">
        <v>99</v>
      </c>
      <c r="M8" s="19">
        <f>_xlfn.XLOOKUP(tab_JA[[#This Row],[Code]],Rencontres_N3_PN_Rx[Code_JA],Rencontres_N3_PN_Rx[prest],0,0)</f>
        <v>4</v>
      </c>
      <c r="N8" s="19" t="s">
        <v>36</v>
      </c>
      <c r="O8" s="26"/>
      <c r="P8" s="27">
        <f>SUMIF(Rencontres_N3_PN_Rx[Code_JA],tab_JA[[#This Row],[Code]],Rencontres_N3_PN_Rx[Frais_JA])</f>
        <v>172</v>
      </c>
      <c r="S8" s="30" t="str">
        <v>BETH</v>
      </c>
      <c r="T8" s="30" t="str">
        <v>BELLAND</v>
      </c>
      <c r="U8" s="30" t="str">
        <v>Theo</v>
      </c>
      <c r="W8" s="31" t="str">
        <f>IF(X8&lt;&gt;"",_xlfn.XLOOKUP(X8,tab_JA[Code],tab_JA[N_licence],"so"),"")</f>
        <v>509792</v>
      </c>
      <c r="X8" s="32" t="str">
        <v>VAAG</v>
      </c>
      <c r="Y8" s="32" t="str">
        <v>VASSE Agnes</v>
      </c>
      <c r="Z8" s="33">
        <v>6</v>
      </c>
      <c r="AA8" s="33">
        <f>IF(X8&lt;&gt;"",COUNTIFS(Rencontres_N3_PN_Rx[Code_JA],X8,Rencontres_N3_PN_Rx[JA à nommer],"OUI"),"")</f>
        <v>4</v>
      </c>
      <c r="AB8" s="33">
        <f>IF(X8&lt;&gt;"",SUMIF(Rencontres_N3_PN_Rx[Code_JA],X8,Rencontres_N3_PN_Rx[KM_JA]),"")</f>
        <v>96</v>
      </c>
      <c r="AC8" s="33">
        <f>IF(X8&lt;&gt;"",SUMIF(Rencontres_N3_PN_Rx[Code_JA],X8,Rencontres_N3_PN_Rx[Peages]),"")</f>
        <v>0</v>
      </c>
      <c r="AD8" s="34">
        <f>IF(X8&lt;&gt;"",SUMIF(Rencontres_N3_PN_Rx[Code_JA],X8,Rencontres_N3_PN_Rx[Frais_JA])-SUMIF(Rencontres_N3_PN_Rx[Code_JA],X8,Rencontres_N3_PN_Rx[frais defiscalisable]),"")</f>
        <v>128.79999999999998</v>
      </c>
      <c r="AE8" s="121">
        <f>IF(X8&lt;&gt;"",SUMIF(Rencontres_N3_PN_Rx[Code_JA],X8,Rencontres_N3_PN_Rx[frais defiscalisable]),"")</f>
        <v>0</v>
      </c>
    </row>
    <row r="9" spans="1:32" ht="15" customHeight="1" x14ac:dyDescent="0.25">
      <c r="A9" s="19" t="s">
        <v>147</v>
      </c>
      <c r="B9" s="20" t="s">
        <v>148</v>
      </c>
      <c r="C9" s="21" t="s">
        <v>149</v>
      </c>
      <c r="D9" s="21" t="s">
        <v>150</v>
      </c>
      <c r="E9" s="21" t="s">
        <v>151</v>
      </c>
      <c r="F9" s="19">
        <v>14000</v>
      </c>
      <c r="G9" s="21" t="s">
        <v>63</v>
      </c>
      <c r="H9" s="42" t="s">
        <v>152</v>
      </c>
      <c r="I9" s="43" t="s">
        <v>153</v>
      </c>
      <c r="J9" s="43" t="s">
        <v>154</v>
      </c>
      <c r="K9" s="44" t="s">
        <v>155</v>
      </c>
      <c r="L9" s="21" t="s">
        <v>156</v>
      </c>
      <c r="M9" s="19">
        <f>_xlfn.XLOOKUP(tab_JA[[#This Row],[Code]],Rencontres_N3_PN_Rx[Code_JA],Rencontres_N3_PN_Rx[prest],0,0)</f>
        <v>0</v>
      </c>
      <c r="N9" s="19" t="s">
        <v>36</v>
      </c>
      <c r="O9" s="26"/>
      <c r="P9" s="27">
        <f>SUMIF(Rencontres_N3_PN_Rx[Code_JA],tab_JA[[#This Row],[Code]],Rencontres_N3_PN_Rx[Frais_JA])</f>
        <v>0</v>
      </c>
      <c r="S9" s="30" t="str">
        <v>BIMA</v>
      </c>
      <c r="T9" s="30" t="str">
        <v>BINARD</v>
      </c>
      <c r="U9" s="30" t="str">
        <v>Mathis</v>
      </c>
      <c r="W9" s="31" t="str">
        <f>IF(X9&lt;&gt;"",_xlfn.XLOOKUP(X9,tab_JA[Code],tab_JA[N_licence],"so"),"")</f>
        <v>50983</v>
      </c>
      <c r="X9" s="32" t="str">
        <v>LEDO</v>
      </c>
      <c r="Y9" s="32" t="str">
        <v>LETENDRE Dominique</v>
      </c>
      <c r="Z9" s="33">
        <v>6</v>
      </c>
      <c r="AA9" s="33">
        <f>IF(X9&lt;&gt;"",COUNTIFS(Rencontres_N3_PN_Rx[Code_JA],X9,Rencontres_N3_PN_Rx[JA à nommer],"OUI"),"")</f>
        <v>4</v>
      </c>
      <c r="AB9" s="33">
        <f>IF(X9&lt;&gt;"",SUMIF(Rencontres_N3_PN_Rx[Code_JA],X9,Rencontres_N3_PN_Rx[KM_JA]),"")</f>
        <v>280</v>
      </c>
      <c r="AC9" s="33">
        <f>IF(X9&lt;&gt;"",SUMIF(Rencontres_N3_PN_Rx[Code_JA],X9,Rencontres_N3_PN_Rx[Peages]),"")</f>
        <v>0</v>
      </c>
      <c r="AD9" s="34">
        <f>IF(X9&lt;&gt;"",SUMIF(Rencontres_N3_PN_Rx[Code_JA],X9,Rencontres_N3_PN_Rx[Frais_JA])-SUMIF(Rencontres_N3_PN_Rx[Code_JA],X9,Rencontres_N3_PN_Rx[frais defiscalisable]),"")</f>
        <v>183.99999999999997</v>
      </c>
      <c r="AE9" s="121">
        <f>IF(X9&lt;&gt;"",SUMIF(Rencontres_N3_PN_Rx[Code_JA],X9,Rencontres_N3_PN_Rx[frais defiscalisable]),"")</f>
        <v>0</v>
      </c>
    </row>
    <row r="10" spans="1:32" ht="15" customHeight="1" x14ac:dyDescent="0.25">
      <c r="A10" s="19" t="s">
        <v>3268</v>
      </c>
      <c r="B10" s="20" t="s">
        <v>119</v>
      </c>
      <c r="C10" s="21" t="s">
        <v>120</v>
      </c>
      <c r="D10" s="21" t="s">
        <v>121</v>
      </c>
      <c r="E10" s="21" t="s">
        <v>122</v>
      </c>
      <c r="F10" s="19">
        <v>76720</v>
      </c>
      <c r="G10" s="21" t="s">
        <v>123</v>
      </c>
      <c r="H10" s="42" t="s">
        <v>124</v>
      </c>
      <c r="I10" s="43"/>
      <c r="J10" s="43" t="s">
        <v>125</v>
      </c>
      <c r="K10" s="44" t="s">
        <v>126</v>
      </c>
      <c r="L10" s="21" t="s">
        <v>127</v>
      </c>
      <c r="M10" s="19">
        <f>_xlfn.XLOOKUP(tab_JA[[#This Row],[Code]],Rencontres_N3_PN_Rx[Code_JA],Rencontres_N3_PN_Rx[prest],0,0)</f>
        <v>0</v>
      </c>
      <c r="N10" s="19" t="s">
        <v>36</v>
      </c>
      <c r="O10" s="26"/>
      <c r="P10" s="27">
        <f>SUMIF(Rencontres_N3_PN_Rx[Code_JA],tab_JA[[#This Row],[Code]],Rencontres_N3_PN_Rx[Frais_JA])</f>
        <v>0</v>
      </c>
      <c r="S10" s="30" t="str">
        <v>BONA</v>
      </c>
      <c r="T10" s="30" t="str">
        <v>BOUCHE</v>
      </c>
      <c r="U10" s="30" t="str">
        <v>Nathalie</v>
      </c>
      <c r="W10" s="31" t="str">
        <f>IF(X10&lt;&gt;"",_xlfn.XLOOKUP(X10,tab_JA[Code],tab_JA[N_licence],"so"),"")</f>
        <v>5012492</v>
      </c>
      <c r="X10" s="32" t="str">
        <v>LEBR</v>
      </c>
      <c r="Y10" s="32" t="str">
        <v>LETENDRE Brigitte</v>
      </c>
      <c r="Z10" s="33">
        <v>6</v>
      </c>
      <c r="AA10" s="33">
        <f>IF(X10&lt;&gt;"",COUNTIFS(Rencontres_N3_PN_Rx[Code_JA],X10,Rencontres_N3_PN_Rx[JA à nommer],"OUI"),"")</f>
        <v>4</v>
      </c>
      <c r="AB10" s="33">
        <f>IF(X10&lt;&gt;"",SUMIF(Rencontres_N3_PN_Rx[Code_JA],X10,Rencontres_N3_PN_Rx[KM_JA]),"")</f>
        <v>147</v>
      </c>
      <c r="AC10" s="33">
        <f>IF(X10&lt;&gt;"",SUMIF(Rencontres_N3_PN_Rx[Code_JA],X10,Rencontres_N3_PN_Rx[Peages]),"")</f>
        <v>0</v>
      </c>
      <c r="AD10" s="34">
        <f>IF(X10&lt;&gt;"",SUMIF(Rencontres_N3_PN_Rx[Code_JA],X10,Rencontres_N3_PN_Rx[Frais_JA])-SUMIF(Rencontres_N3_PN_Rx[Code_JA],X10,Rencontres_N3_PN_Rx[frais defiscalisable]),"")</f>
        <v>144.10000000000002</v>
      </c>
      <c r="AE10" s="121">
        <f>IF(X10&lt;&gt;"",SUMIF(Rencontres_N3_PN_Rx[Code_JA],X10,Rencontres_N3_PN_Rx[frais defiscalisable]),"")</f>
        <v>0</v>
      </c>
    </row>
    <row r="11" spans="1:32" ht="15" customHeight="1" x14ac:dyDescent="0.25">
      <c r="A11" s="19" t="s">
        <v>128</v>
      </c>
      <c r="B11" s="20" t="s">
        <v>129</v>
      </c>
      <c r="C11" s="21" t="s">
        <v>130</v>
      </c>
      <c r="D11" s="21" t="s">
        <v>131</v>
      </c>
      <c r="E11" s="21" t="s">
        <v>132</v>
      </c>
      <c r="F11" s="19">
        <v>50570</v>
      </c>
      <c r="G11" s="21" t="s">
        <v>133</v>
      </c>
      <c r="H11" s="42" t="s">
        <v>134</v>
      </c>
      <c r="I11" s="43" t="s">
        <v>135</v>
      </c>
      <c r="J11" s="43" t="s">
        <v>136</v>
      </c>
      <c r="K11" s="45" t="s">
        <v>137</v>
      </c>
      <c r="L11" s="21" t="s">
        <v>138</v>
      </c>
      <c r="M11" s="19">
        <f>_xlfn.XLOOKUP(tab_JA[[#This Row],[Code]],Rencontres_N3_PN_Rx[Code_JA],Rencontres_N3_PN_Rx[prest],0,0)</f>
        <v>2</v>
      </c>
      <c r="N11" s="19" t="s">
        <v>36</v>
      </c>
      <c r="O11" s="26"/>
      <c r="P11" s="27">
        <f>SUMIF(Rencontres_N3_PN_Rx[Code_JA],tab_JA[[#This Row],[Code]],Rencontres_N3_PN_Rx[Frais_JA])</f>
        <v>68</v>
      </c>
      <c r="S11" s="30" t="str">
        <v>BOPA</v>
      </c>
      <c r="T11" s="30" t="str">
        <v>BOUIN</v>
      </c>
      <c r="U11" s="30" t="str">
        <v>Pascal</v>
      </c>
      <c r="W11" s="31" t="str">
        <f>IF(X11&lt;&gt;"",_xlfn.XLOOKUP(X11,tab_JA[Code],tab_JA[N_licence],"so"),"")</f>
        <v>704392</v>
      </c>
      <c r="X11" s="32" t="str">
        <v>BARO</v>
      </c>
      <c r="Y11" s="32" t="str">
        <v>BASTIEN Romain</v>
      </c>
      <c r="Z11" s="33">
        <v>5</v>
      </c>
      <c r="AA11" s="33">
        <f>IF(X11&lt;&gt;"",COUNTIFS(Rencontres_N3_PN_Rx[Code_JA],X11,Rencontres_N3_PN_Rx[JA à nommer],"OUI"),"")</f>
        <v>5</v>
      </c>
      <c r="AB11" s="33">
        <f>IF(X11&lt;&gt;"",SUMIF(Rencontres_N3_PN_Rx[Code_JA],X11,Rencontres_N3_PN_Rx[KM_JA]),"")</f>
        <v>90</v>
      </c>
      <c r="AC11" s="33">
        <f>IF(X11&lt;&gt;"",SUMIF(Rencontres_N3_PN_Rx[Code_JA],X11,Rencontres_N3_PN_Rx[Peages]),"")</f>
        <v>0</v>
      </c>
      <c r="AD11" s="34">
        <f>IF(X11&lt;&gt;"",SUMIF(Rencontres_N3_PN_Rx[Code_JA],X11,Rencontres_N3_PN_Rx[Frais_JA])-SUMIF(Rencontres_N3_PN_Rx[Code_JA],X11,Rencontres_N3_PN_Rx[frais defiscalisable]),"")</f>
        <v>152</v>
      </c>
      <c r="AE11" s="121">
        <f>IF(X11&lt;&gt;"",SUMIF(Rencontres_N3_PN_Rx[Code_JA],X11,Rencontres_N3_PN_Rx[frais defiscalisable]),"")</f>
        <v>0</v>
      </c>
    </row>
    <row r="12" spans="1:32" ht="15" customHeight="1" x14ac:dyDescent="0.25">
      <c r="A12" s="19" t="s">
        <v>139</v>
      </c>
      <c r="B12" s="46" t="s">
        <v>140</v>
      </c>
      <c r="C12" s="21" t="s">
        <v>130</v>
      </c>
      <c r="D12" s="21" t="s">
        <v>141</v>
      </c>
      <c r="E12" s="21" t="s">
        <v>132</v>
      </c>
      <c r="F12" s="19">
        <v>50570</v>
      </c>
      <c r="G12" s="21" t="s">
        <v>133</v>
      </c>
      <c r="H12" s="42" t="s">
        <v>142</v>
      </c>
      <c r="I12" s="43" t="s">
        <v>143</v>
      </c>
      <c r="J12" s="43" t="s">
        <v>144</v>
      </c>
      <c r="K12" s="45" t="s">
        <v>145</v>
      </c>
      <c r="L12" s="21" t="s">
        <v>146</v>
      </c>
      <c r="M12" s="19">
        <f>_xlfn.XLOOKUP(tab_JA[[#This Row],[Code]],Rencontres_N3_PN_Rx[Code_JA],Rencontres_N3_PN_Rx[prest],0,0)</f>
        <v>5</v>
      </c>
      <c r="N12" s="19" t="s">
        <v>36</v>
      </c>
      <c r="O12" s="26"/>
      <c r="P12" s="27">
        <f>SUMIF(Rencontres_N3_PN_Rx[Code_JA],tab_JA[[#This Row],[Code]],Rencontres_N3_PN_Rx[Frais_JA])</f>
        <v>152</v>
      </c>
      <c r="S12" s="30" t="str">
        <v>CAJA</v>
      </c>
      <c r="T12" s="30" t="str">
        <v>CANUET</v>
      </c>
      <c r="U12" s="30" t="str">
        <v>Jacques</v>
      </c>
      <c r="W12" s="31" t="str">
        <f>IF(X12&lt;&gt;"",_xlfn.XLOOKUP(X12,tab_JA[Code],tab_JA[N_licence],"so"),"")</f>
        <v>5019936</v>
      </c>
      <c r="X12" s="32" t="str">
        <v>BIMA</v>
      </c>
      <c r="Y12" s="32" t="str">
        <v>BINARD Mathis</v>
      </c>
      <c r="Z12" s="33">
        <v>5</v>
      </c>
      <c r="AA12" s="33">
        <f>IF(X12&lt;&gt;"",COUNTIFS(Rencontres_N3_PN_Rx[Code_JA],X12,Rencontres_N3_PN_Rx[JA à nommer],"OUI"),"")</f>
        <v>2</v>
      </c>
      <c r="AB12" s="33">
        <f>IF(X12&lt;&gt;"",SUMIF(Rencontres_N3_PN_Rx[Code_JA],X12,Rencontres_N3_PN_Rx[KM_JA]),"")</f>
        <v>88</v>
      </c>
      <c r="AC12" s="33">
        <f>IF(X12&lt;&gt;"",SUMIF(Rencontres_N3_PN_Rx[Code_JA],X12,Rencontres_N3_PN_Rx[Peages]),"")</f>
        <v>0</v>
      </c>
      <c r="AD12" s="34">
        <f>IF(X12&lt;&gt;"",SUMIF(Rencontres_N3_PN_Rx[Code_JA],X12,Rencontres_N3_PN_Rx[Frais_JA])-SUMIF(Rencontres_N3_PN_Rx[Code_JA],X12,Rencontres_N3_PN_Rx[frais defiscalisable]),"")</f>
        <v>76.400000000000006</v>
      </c>
      <c r="AE12" s="121">
        <f>IF(X12&lt;&gt;"",SUMIF(Rencontres_N3_PN_Rx[Code_JA],X12,Rencontres_N3_PN_Rx[frais defiscalisable]),"")</f>
        <v>0</v>
      </c>
    </row>
    <row r="13" spans="1:32" ht="15" customHeight="1" x14ac:dyDescent="0.25">
      <c r="A13" s="19" t="s">
        <v>3266</v>
      </c>
      <c r="B13" s="20" t="s">
        <v>100</v>
      </c>
      <c r="C13" s="21" t="s">
        <v>101</v>
      </c>
      <c r="D13" s="21" t="s">
        <v>102</v>
      </c>
      <c r="E13" s="21" t="s">
        <v>103</v>
      </c>
      <c r="F13" s="19">
        <v>14130</v>
      </c>
      <c r="G13" s="21" t="s">
        <v>104</v>
      </c>
      <c r="H13" s="42" t="s">
        <v>105</v>
      </c>
      <c r="I13" s="43" t="s">
        <v>106</v>
      </c>
      <c r="J13" s="43" t="s">
        <v>107</v>
      </c>
      <c r="K13" s="44" t="s">
        <v>108</v>
      </c>
      <c r="L13" s="21" t="s">
        <v>109</v>
      </c>
      <c r="M13" s="19">
        <f>_xlfn.XLOOKUP(tab_JA[[#This Row],[Code]],Rencontres_N3_PN_Rx[Code_JA],Rencontres_N3_PN_Rx[prest],0,0)</f>
        <v>0</v>
      </c>
      <c r="N13" s="19" t="s">
        <v>36</v>
      </c>
      <c r="O13" s="26"/>
      <c r="P13" s="27">
        <f>SUMIF(Rencontres_N3_PN_Rx[Code_JA],tab_JA[[#This Row],[Code]],Rencontres_N3_PN_Rx[Frais_JA])</f>
        <v>0</v>
      </c>
      <c r="S13" s="30" t="str">
        <v>CAWI</v>
      </c>
      <c r="T13" s="30" t="str">
        <v>CASTEL</v>
      </c>
      <c r="U13" s="30" t="str">
        <v>Wilfried</v>
      </c>
      <c r="W13" s="31" t="str">
        <f>IF(X13&lt;&gt;"",_xlfn.XLOOKUP(X13,tab_JA[Code],tab_JA[N_licence],"so"),"")</f>
        <v>502994</v>
      </c>
      <c r="X13" s="32" t="str">
        <v>ROPI</v>
      </c>
      <c r="Y13" s="32" t="str">
        <v>ROUAULT Pierrick</v>
      </c>
      <c r="Z13" s="33">
        <v>4</v>
      </c>
      <c r="AA13" s="33">
        <f>IF(X13&lt;&gt;"",COUNTIFS(Rencontres_N3_PN_Rx[Code_JA],X13,Rencontres_N3_PN_Rx[JA à nommer],"OUI"),"")</f>
        <v>2</v>
      </c>
      <c r="AB13" s="33">
        <f>IF(X13&lt;&gt;"",SUMIF(Rencontres_N3_PN_Rx[Code_JA],X13,Rencontres_N3_PN_Rx[KM_JA]),"")</f>
        <v>40</v>
      </c>
      <c r="AC13" s="33">
        <f>IF(X13&lt;&gt;"",SUMIF(Rencontres_N3_PN_Rx[Code_JA],X13,Rencontres_N3_PN_Rx[Peages]),"")</f>
        <v>0</v>
      </c>
      <c r="AD13" s="34">
        <f>IF(X13&lt;&gt;"",SUMIF(Rencontres_N3_PN_Rx[Code_JA],X13,Rencontres_N3_PN_Rx[Frais_JA])-SUMIF(Rencontres_N3_PN_Rx[Code_JA],X13,Rencontres_N3_PN_Rx[frais defiscalisable]),"")</f>
        <v>62</v>
      </c>
      <c r="AE13" s="121">
        <f>IF(X13&lt;&gt;"",SUMIF(Rencontres_N3_PN_Rx[Code_JA],X13,Rencontres_N3_PN_Rx[frais defiscalisable]),"")</f>
        <v>0</v>
      </c>
    </row>
    <row r="14" spans="1:32" ht="15" customHeight="1" x14ac:dyDescent="0.25">
      <c r="A14" s="19" t="s">
        <v>3267</v>
      </c>
      <c r="B14" s="20" t="s">
        <v>110</v>
      </c>
      <c r="C14" s="21" t="s">
        <v>111</v>
      </c>
      <c r="D14" s="21" t="s">
        <v>112</v>
      </c>
      <c r="E14" s="21" t="s">
        <v>113</v>
      </c>
      <c r="F14" s="19">
        <v>76230</v>
      </c>
      <c r="G14" s="21" t="s">
        <v>114</v>
      </c>
      <c r="H14" s="42" t="s">
        <v>115</v>
      </c>
      <c r="I14" s="43"/>
      <c r="J14" s="43" t="s">
        <v>116</v>
      </c>
      <c r="K14" s="44" t="s">
        <v>117</v>
      </c>
      <c r="L14" s="21" t="s">
        <v>118</v>
      </c>
      <c r="M14" s="19">
        <f>_xlfn.XLOOKUP(tab_JA[[#This Row],[Code]],Rencontres_N3_PN_Rx[Code_JA],Rencontres_N3_PN_Rx[prest],0,0)</f>
        <v>0</v>
      </c>
      <c r="N14" s="19" t="s">
        <v>36</v>
      </c>
      <c r="O14" s="26"/>
      <c r="P14" s="27">
        <f>SUMIF(Rencontres_N3_PN_Rx[Code_JA],tab_JA[[#This Row],[Code]],Rencontres_N3_PN_Rx[Frais_JA])</f>
        <v>0</v>
      </c>
      <c r="S14" s="30" t="str">
        <v>CHMC</v>
      </c>
      <c r="T14" s="30" t="str">
        <v>CHOUBRAC</v>
      </c>
      <c r="U14" s="30" t="str">
        <v>Marie-Christine</v>
      </c>
      <c r="W14" s="31" t="str">
        <f>IF(X14&lt;&gt;"",_xlfn.XLOOKUP(X14,tab_JA[Code],tab_JA[N_licence],"so"),"")</f>
        <v>5014258</v>
      </c>
      <c r="X14" s="32" t="str">
        <v>AZDI</v>
      </c>
      <c r="Y14" s="32" t="str">
        <v>AZE Didier</v>
      </c>
      <c r="Z14" s="33">
        <v>4</v>
      </c>
      <c r="AA14" s="33">
        <f>IF(X14&lt;&gt;"",COUNTIFS(Rencontres_N3_PN_Rx[Code_JA],X14,Rencontres_N3_PN_Rx[JA à nommer],"OUI"),"")</f>
        <v>4</v>
      </c>
      <c r="AB14" s="33">
        <f>IF(X14&lt;&gt;"",SUMIF(Rencontres_N3_PN_Rx[Code_JA],X14,Rencontres_N3_PN_Rx[KM_JA]),"")</f>
        <v>240</v>
      </c>
      <c r="AC14" s="33">
        <f>IF(X14&lt;&gt;"",SUMIF(Rencontres_N3_PN_Rx[Code_JA],X14,Rencontres_N3_PN_Rx[Peages]),"")</f>
        <v>0</v>
      </c>
      <c r="AD14" s="34">
        <f>IF(X14&lt;&gt;"",SUMIF(Rencontres_N3_PN_Rx[Code_JA],X14,Rencontres_N3_PN_Rx[Frais_JA])-SUMIF(Rencontres_N3_PN_Rx[Code_JA],X14,Rencontres_N3_PN_Rx[frais defiscalisable]),"")</f>
        <v>172</v>
      </c>
      <c r="AE14" s="121">
        <f>IF(X14&lt;&gt;"",SUMIF(Rencontres_N3_PN_Rx[Code_JA],X14,Rencontres_N3_PN_Rx[frais defiscalisable]),"")</f>
        <v>0</v>
      </c>
    </row>
    <row r="15" spans="1:32" ht="15" customHeight="1" x14ac:dyDescent="0.25">
      <c r="A15" s="19" t="s">
        <v>201</v>
      </c>
      <c r="B15" s="20" t="s">
        <v>202</v>
      </c>
      <c r="C15" s="21" t="s">
        <v>203</v>
      </c>
      <c r="D15" s="21" t="s">
        <v>204</v>
      </c>
      <c r="E15" s="21" t="s">
        <v>205</v>
      </c>
      <c r="F15" s="19">
        <v>50340</v>
      </c>
      <c r="G15" s="21" t="s">
        <v>206</v>
      </c>
      <c r="H15" s="42" t="s">
        <v>207</v>
      </c>
      <c r="I15" s="43" t="s">
        <v>208</v>
      </c>
      <c r="J15" s="43" t="s">
        <v>209</v>
      </c>
      <c r="K15" s="44" t="s">
        <v>45</v>
      </c>
      <c r="L15" s="21" t="s">
        <v>46</v>
      </c>
      <c r="M15" s="19">
        <f>_xlfn.XLOOKUP(tab_JA[[#This Row],[Code]],Rencontres_N3_PN_Rx[Code_JA],Rencontres_N3_PN_Rx[prest],0,0)</f>
        <v>3</v>
      </c>
      <c r="N15" s="19" t="s">
        <v>36</v>
      </c>
      <c r="O15" s="26"/>
      <c r="P15" s="27">
        <f>SUMIF(Rencontres_N3_PN_Rx[Code_JA],tab_JA[[#This Row],[Code]],Rencontres_N3_PN_Rx[Frais_JA])</f>
        <v>106.2</v>
      </c>
      <c r="S15" s="30" t="str">
        <v>CUFL</v>
      </c>
      <c r="T15" s="30" t="str">
        <v>CUMIN</v>
      </c>
      <c r="U15" s="30" t="str">
        <v>Florent</v>
      </c>
      <c r="W15" s="31" t="str">
        <f>IF(X15&lt;&gt;"",_xlfn.XLOOKUP(X15,tab_JA[Code],tab_JA[N_licence],"so"),"")</f>
        <v>5022827</v>
      </c>
      <c r="X15" s="32" t="str">
        <v>TELA</v>
      </c>
      <c r="Y15" s="32" t="str">
        <v>TEURTERIE Laurence</v>
      </c>
      <c r="Z15" s="33">
        <v>4</v>
      </c>
      <c r="AA15" s="33">
        <f>IF(X15&lt;&gt;"",COUNTIFS(Rencontres_N3_PN_Rx[Code_JA],X15,Rencontres_N3_PN_Rx[JA à nommer],"OUI"),"")</f>
        <v>2</v>
      </c>
      <c r="AB15" s="33">
        <f>IF(X15&lt;&gt;"",SUMIF(Rencontres_N3_PN_Rx[Code_JA],X15,Rencontres_N3_PN_Rx[KM_JA]),"")</f>
        <v>32</v>
      </c>
      <c r="AC15" s="33">
        <f>IF(X15&lt;&gt;"",SUMIF(Rencontres_N3_PN_Rx[Code_JA],X15,Rencontres_N3_PN_Rx[Peages]),"")</f>
        <v>0</v>
      </c>
      <c r="AD15" s="34">
        <f>IF(X15&lt;&gt;"",SUMIF(Rencontres_N3_PN_Rx[Code_JA],X15,Rencontres_N3_PN_Rx[Frais_JA])-SUMIF(Rencontres_N3_PN_Rx[Code_JA],X15,Rencontres_N3_PN_Rx[frais defiscalisable]),"")</f>
        <v>59.6</v>
      </c>
      <c r="AE15" s="121">
        <f>IF(X15&lt;&gt;"",SUMIF(Rencontres_N3_PN_Rx[Code_JA],X15,Rencontres_N3_PN_Rx[frais defiscalisable]),"")</f>
        <v>0</v>
      </c>
    </row>
    <row r="16" spans="1:32" ht="15" customHeight="1" x14ac:dyDescent="0.25">
      <c r="A16" s="19" t="s">
        <v>157</v>
      </c>
      <c r="B16" s="20" t="s">
        <v>158</v>
      </c>
      <c r="C16" s="21" t="s">
        <v>159</v>
      </c>
      <c r="D16" s="21" t="s">
        <v>93</v>
      </c>
      <c r="E16" s="21" t="s">
        <v>160</v>
      </c>
      <c r="F16" s="19">
        <v>14000</v>
      </c>
      <c r="G16" s="21" t="s">
        <v>63</v>
      </c>
      <c r="H16" s="42" t="s">
        <v>161</v>
      </c>
      <c r="I16" s="43"/>
      <c r="J16" s="43" t="s">
        <v>162</v>
      </c>
      <c r="K16" s="44" t="s">
        <v>163</v>
      </c>
      <c r="L16" s="21" t="s">
        <v>164</v>
      </c>
      <c r="M16" s="19">
        <f>_xlfn.XLOOKUP(tab_JA[[#This Row],[Code]],Rencontres_N3_PN_Rx[Code_JA],Rencontres_N3_PN_Rx[prest],0,0)</f>
        <v>0</v>
      </c>
      <c r="N16" s="19" t="s">
        <v>36</v>
      </c>
      <c r="O16" s="26"/>
      <c r="P16" s="27">
        <f>SUMIF(Rencontres_N3_PN_Rx[Code_JA],tab_JA[[#This Row],[Code]],Rencontres_N3_PN_Rx[Frais_JA])</f>
        <v>0</v>
      </c>
      <c r="S16" s="30" t="str">
        <v>DALA</v>
      </c>
      <c r="T16" s="30" t="str">
        <v>DAHIREL</v>
      </c>
      <c r="U16" s="30" t="str">
        <v>Laurent</v>
      </c>
      <c r="W16" s="31" t="str">
        <f>IF(X16&lt;&gt;"",_xlfn.XLOOKUP(X16,tab_JA[Code],tab_JA[N_licence],"so"),"")</f>
        <v>7849512</v>
      </c>
      <c r="X16" s="32" t="str">
        <v>BEMO</v>
      </c>
      <c r="Y16" s="32" t="str">
        <v>BELHOSTE Morgane</v>
      </c>
      <c r="Z16" s="33">
        <v>4</v>
      </c>
      <c r="AA16" s="33">
        <f>IF(X16&lt;&gt;"",COUNTIFS(Rencontres_N3_PN_Rx[Code_JA],X16,Rencontres_N3_PN_Rx[JA à nommer],"OUI"),"")</f>
        <v>2</v>
      </c>
      <c r="AB16" s="33">
        <f>IF(X16&lt;&gt;"",SUMIF(Rencontres_N3_PN_Rx[Code_JA],X16,Rencontres_N3_PN_Rx[KM_JA]),"")</f>
        <v>52</v>
      </c>
      <c r="AC16" s="33">
        <f>IF(X16&lt;&gt;"",SUMIF(Rencontres_N3_PN_Rx[Code_JA],X16,Rencontres_N3_PN_Rx[Peages]),"")</f>
        <v>0</v>
      </c>
      <c r="AD16" s="34">
        <f>IF(X16&lt;&gt;"",SUMIF(Rencontres_N3_PN_Rx[Code_JA],X16,Rencontres_N3_PN_Rx[Frais_JA])-SUMIF(Rencontres_N3_PN_Rx[Code_JA],X16,Rencontres_N3_PN_Rx[frais defiscalisable]),"")</f>
        <v>65.599999999999994</v>
      </c>
      <c r="AE16" s="121">
        <f>IF(X16&lt;&gt;"",SUMIF(Rencontres_N3_PN_Rx[Code_JA],X16,Rencontres_N3_PN_Rx[frais defiscalisable]),"")</f>
        <v>0</v>
      </c>
    </row>
    <row r="17" spans="1:31" ht="15" customHeight="1" x14ac:dyDescent="0.25">
      <c r="A17" s="19" t="s">
        <v>210</v>
      </c>
      <c r="B17" s="20" t="s">
        <v>211</v>
      </c>
      <c r="C17" s="21" t="s">
        <v>212</v>
      </c>
      <c r="D17" s="21" t="s">
        <v>213</v>
      </c>
      <c r="E17" s="21" t="s">
        <v>214</v>
      </c>
      <c r="F17" s="19">
        <v>27940</v>
      </c>
      <c r="G17" s="21" t="s">
        <v>215</v>
      </c>
      <c r="H17" s="42" t="s">
        <v>216</v>
      </c>
      <c r="I17" s="43" t="s">
        <v>217</v>
      </c>
      <c r="J17" s="43" t="s">
        <v>218</v>
      </c>
      <c r="K17" s="44" t="s">
        <v>219</v>
      </c>
      <c r="L17" s="21" t="s">
        <v>220</v>
      </c>
      <c r="M17" s="19">
        <f>_xlfn.XLOOKUP(tab_JA[[#This Row],[Code]],Rencontres_N3_PN_Rx[Code_JA],Rencontres_N3_PN_Rx[prest],0,0)</f>
        <v>0</v>
      </c>
      <c r="N17" s="19" t="s">
        <v>36</v>
      </c>
      <c r="O17" s="26"/>
      <c r="P17" s="27">
        <f>SUMIF(Rencontres_N3_PN_Rx[Code_JA],tab_JA[[#This Row],[Code]],Rencontres_N3_PN_Rx[Frais_JA])</f>
        <v>0</v>
      </c>
      <c r="S17" s="30" t="str">
        <v>DANI</v>
      </c>
      <c r="T17" s="30" t="str">
        <v>DANDOU</v>
      </c>
      <c r="U17" s="30" t="str">
        <v>Nicolas</v>
      </c>
      <c r="W17" s="31" t="str">
        <f>IF(X17&lt;&gt;"",_xlfn.XLOOKUP(X17,tab_JA[Code],tab_JA[N_licence],"so"),"")</f>
        <v>503495</v>
      </c>
      <c r="X17" s="32" t="str">
        <v>LEJM</v>
      </c>
      <c r="Y17" s="32" t="str">
        <v>LEPETIT Jean-Marc</v>
      </c>
      <c r="Z17" s="33">
        <v>3</v>
      </c>
      <c r="AA17" s="33">
        <f>IF(X17&lt;&gt;"",COUNTIFS(Rencontres_N3_PN_Rx[Code_JA],X17,Rencontres_N3_PN_Rx[JA à nommer],"OUI"),"")</f>
        <v>3</v>
      </c>
      <c r="AB17" s="33">
        <f>IF(X17&lt;&gt;"",SUMIF(Rencontres_N3_PN_Rx[Code_JA],X17,Rencontres_N3_PN_Rx[KM_JA]),"")</f>
        <v>129</v>
      </c>
      <c r="AC17" s="33">
        <f>IF(X17&lt;&gt;"",SUMIF(Rencontres_N3_PN_Rx[Code_JA],X17,Rencontres_N3_PN_Rx[Peages]),"")</f>
        <v>0</v>
      </c>
      <c r="AD17" s="34">
        <f>IF(X17&lt;&gt;"",SUMIF(Rencontres_N3_PN_Rx[Code_JA],X17,Rencontres_N3_PN_Rx[Frais_JA])-SUMIF(Rencontres_N3_PN_Rx[Code_JA],X17,Rencontres_N3_PN_Rx[frais defiscalisable]),"")</f>
        <v>113.69999999999999</v>
      </c>
      <c r="AE17" s="121">
        <f>IF(X17&lt;&gt;"",SUMIF(Rencontres_N3_PN_Rx[Code_JA],X17,Rencontres_N3_PN_Rx[frais defiscalisable]),"")</f>
        <v>0</v>
      </c>
    </row>
    <row r="18" spans="1:31" ht="15" customHeight="1" x14ac:dyDescent="0.25">
      <c r="A18" s="19" t="s">
        <v>221</v>
      </c>
      <c r="B18" s="20" t="s">
        <v>222</v>
      </c>
      <c r="C18" s="21" t="s">
        <v>223</v>
      </c>
      <c r="D18" s="21" t="s">
        <v>224</v>
      </c>
      <c r="E18" s="21" t="s">
        <v>225</v>
      </c>
      <c r="F18" s="19">
        <v>44340</v>
      </c>
      <c r="G18" s="21" t="s">
        <v>226</v>
      </c>
      <c r="H18" s="42" t="s">
        <v>227</v>
      </c>
      <c r="I18" s="43"/>
      <c r="J18" s="43" t="s">
        <v>228</v>
      </c>
      <c r="K18" s="44" t="s">
        <v>182</v>
      </c>
      <c r="L18" s="21" t="s">
        <v>183</v>
      </c>
      <c r="M18" s="19">
        <f>_xlfn.XLOOKUP(tab_JA[[#This Row],[Code]],Rencontres_N3_PN_Rx[Code_JA],Rencontres_N3_PN_Rx[prest],0,0)</f>
        <v>0</v>
      </c>
      <c r="N18" s="19" t="s">
        <v>36</v>
      </c>
      <c r="O18" s="26"/>
      <c r="P18" s="27">
        <f>SUMIF(Rencontres_N3_PN_Rx[Code_JA],tab_JA[[#This Row],[Code]],Rencontres_N3_PN_Rx[Frais_JA])</f>
        <v>0</v>
      </c>
      <c r="S18" s="30" t="str">
        <v>DEER</v>
      </c>
      <c r="T18" s="30" t="str">
        <v>DEFOURNEAUX</v>
      </c>
      <c r="U18" s="30" t="str">
        <v>Eric</v>
      </c>
      <c r="W18" s="31" t="str">
        <f>IF(X18&lt;&gt;"",_xlfn.XLOOKUP(X18,tab_JA[Code],tab_JA[N_licence],"so"),"")</f>
        <v>5015060</v>
      </c>
      <c r="X18" s="32" t="str">
        <v>BOPA</v>
      </c>
      <c r="Y18" s="32" t="str">
        <v>BOUIN Pascal</v>
      </c>
      <c r="Z18" s="33">
        <v>3</v>
      </c>
      <c r="AA18" s="33">
        <f>IF(X18&lt;&gt;"",COUNTIFS(Rencontres_N3_PN_Rx[Code_JA],X18,Rencontres_N3_PN_Rx[JA à nommer],"OUI"),"")</f>
        <v>3</v>
      </c>
      <c r="AB18" s="33">
        <f>IF(X18&lt;&gt;"",SUMIF(Rencontres_N3_PN_Rx[Code_JA],X18,Rencontres_N3_PN_Rx[KM_JA]),"")</f>
        <v>136.80000000000001</v>
      </c>
      <c r="AC18" s="33">
        <f>IF(X18&lt;&gt;"",SUMIF(Rencontres_N3_PN_Rx[Code_JA],X18,Rencontres_N3_PN_Rx[Peages]),"")</f>
        <v>0</v>
      </c>
      <c r="AD18" s="34">
        <f>IF(X18&lt;&gt;"",SUMIF(Rencontres_N3_PN_Rx[Code_JA],X18,Rencontres_N3_PN_Rx[Frais_JA])-SUMIF(Rencontres_N3_PN_Rx[Code_JA],X18,Rencontres_N3_PN_Rx[frais defiscalisable]),"")</f>
        <v>116.03999999999999</v>
      </c>
      <c r="AE18" s="121">
        <f>IF(X18&lt;&gt;"",SUMIF(Rencontres_N3_PN_Rx[Code_JA],X18,Rencontres_N3_PN_Rx[frais defiscalisable]),"")</f>
        <v>0</v>
      </c>
    </row>
    <row r="19" spans="1:31" ht="15" customHeight="1" x14ac:dyDescent="0.25">
      <c r="A19" s="19" t="s">
        <v>3271</v>
      </c>
      <c r="B19" s="46" t="s">
        <v>229</v>
      </c>
      <c r="C19" s="21" t="s">
        <v>230</v>
      </c>
      <c r="D19" s="21" t="s">
        <v>231</v>
      </c>
      <c r="E19" s="21" t="s">
        <v>232</v>
      </c>
      <c r="F19" s="19">
        <v>27700</v>
      </c>
      <c r="G19" s="21" t="s">
        <v>233</v>
      </c>
      <c r="H19" s="42" t="s">
        <v>234</v>
      </c>
      <c r="I19" s="43" t="s">
        <v>235</v>
      </c>
      <c r="J19" s="43" t="s">
        <v>235</v>
      </c>
      <c r="K19" s="45" t="s">
        <v>236</v>
      </c>
      <c r="L19" s="21" t="s">
        <v>237</v>
      </c>
      <c r="M19" s="19">
        <f>_xlfn.XLOOKUP(tab_JA[[#This Row],[Code]],Rencontres_N3_PN_Rx[Code_JA],Rencontres_N3_PN_Rx[prest],0,0)</f>
        <v>0</v>
      </c>
      <c r="N19" s="19" t="s">
        <v>36</v>
      </c>
      <c r="O19" s="26"/>
      <c r="P19" s="27">
        <f>SUMIF(Rencontres_N3_PN_Rx[Code_JA],tab_JA[[#This Row],[Code]],Rencontres_N3_PN_Rx[Frais_JA])</f>
        <v>0</v>
      </c>
      <c r="S19" s="30" t="str">
        <v>DEJM</v>
      </c>
      <c r="T19" s="30" t="str">
        <v>DESCHAMPS</v>
      </c>
      <c r="U19" s="30" t="str">
        <v>Jean-Marc</v>
      </c>
      <c r="W19" s="31" t="str">
        <f>IF(X19&lt;&gt;"",_xlfn.XLOOKUP(X19,tab_JA[Code],tab_JA[N_licence],"so"),"")</f>
        <v>509518</v>
      </c>
      <c r="X19" s="32" t="str">
        <v>ADJE</v>
      </c>
      <c r="Y19" s="32" t="str">
        <v>ADDE Jean-Paul</v>
      </c>
      <c r="Z19" s="33">
        <v>3</v>
      </c>
      <c r="AA19" s="33">
        <f>IF(X19&lt;&gt;"",COUNTIFS(Rencontres_N3_PN_Rx[Code_JA],X19,Rencontres_N3_PN_Rx[JA à nommer],"OUI"),"")</f>
        <v>3</v>
      </c>
      <c r="AB19" s="33">
        <f>IF(X19&lt;&gt;"",SUMIF(Rencontres_N3_PN_Rx[Code_JA],X19,Rencontres_N3_PN_Rx[KM_JA]),"")</f>
        <v>114</v>
      </c>
      <c r="AC19" s="33">
        <f>IF(X19&lt;&gt;"",SUMIF(Rencontres_N3_PN_Rx[Code_JA],X19,Rencontres_N3_PN_Rx[Peages]),"")</f>
        <v>0</v>
      </c>
      <c r="AD19" s="34">
        <f>IF(X19&lt;&gt;"",SUMIF(Rencontres_N3_PN_Rx[Code_JA],X19,Rencontres_N3_PN_Rx[Frais_JA])-SUMIF(Rencontres_N3_PN_Rx[Code_JA],X19,Rencontres_N3_PN_Rx[frais defiscalisable]),"")</f>
        <v>109.19999999999999</v>
      </c>
      <c r="AE19" s="121">
        <f>IF(X19&lt;&gt;"",SUMIF(Rencontres_N3_PN_Rx[Code_JA],X19,Rencontres_N3_PN_Rx[frais defiscalisable]),"")</f>
        <v>0</v>
      </c>
    </row>
    <row r="20" spans="1:31" ht="15" customHeight="1" x14ac:dyDescent="0.25">
      <c r="A20" s="19" t="s">
        <v>3270</v>
      </c>
      <c r="B20" s="20" t="s">
        <v>191</v>
      </c>
      <c r="C20" s="21" t="s">
        <v>192</v>
      </c>
      <c r="D20" s="21" t="s">
        <v>193</v>
      </c>
      <c r="E20" s="21" t="s">
        <v>194</v>
      </c>
      <c r="F20" s="19">
        <v>76800</v>
      </c>
      <c r="G20" s="21" t="s">
        <v>195</v>
      </c>
      <c r="H20" s="42" t="s">
        <v>196</v>
      </c>
      <c r="I20" s="43" t="s">
        <v>197</v>
      </c>
      <c r="J20" s="43" t="s">
        <v>198</v>
      </c>
      <c r="K20" s="44" t="s">
        <v>199</v>
      </c>
      <c r="L20" s="21" t="s">
        <v>200</v>
      </c>
      <c r="M20" s="19">
        <f>_xlfn.XLOOKUP(tab_JA[[#This Row],[Code]],Rencontres_N3_PN_Rx[Code_JA],Rencontres_N3_PN_Rx[prest],0,0)</f>
        <v>0</v>
      </c>
      <c r="N20" s="19" t="s">
        <v>36</v>
      </c>
      <c r="O20" s="26"/>
      <c r="P20" s="27">
        <f>SUMIF(Rencontres_N3_PN_Rx[Code_JA],tab_JA[[#This Row],[Code]],Rencontres_N3_PN_Rx[Frais_JA])</f>
        <v>0</v>
      </c>
      <c r="S20" s="30" t="str">
        <v>DEJO</v>
      </c>
      <c r="T20" s="30" t="str">
        <v>DERENNE</v>
      </c>
      <c r="U20" s="30" t="str">
        <v>Joël</v>
      </c>
      <c r="W20" s="31" t="str">
        <f>IF(X20&lt;&gt;"",_xlfn.XLOOKUP(X20,tab_JA[Code],tab_JA[N_licence],"so"),"")</f>
        <v>5013268</v>
      </c>
      <c r="X20" s="32" t="str">
        <v>BECH</v>
      </c>
      <c r="Y20" s="32" t="str">
        <v>BENARD Christophe</v>
      </c>
      <c r="Z20" s="33">
        <v>3</v>
      </c>
      <c r="AA20" s="33">
        <f>IF(X20&lt;&gt;"",COUNTIFS(Rencontres_N3_PN_Rx[Code_JA],X20,Rencontres_N3_PN_Rx[JA à nommer],"OUI"),"")</f>
        <v>3</v>
      </c>
      <c r="AB20" s="33">
        <f>IF(X20&lt;&gt;"",SUMIF(Rencontres_N3_PN_Rx[Code_JA],X20,Rencontres_N3_PN_Rx[KM_JA]),"")</f>
        <v>104</v>
      </c>
      <c r="AC20" s="33">
        <f>IF(X20&lt;&gt;"",SUMIF(Rencontres_N3_PN_Rx[Code_JA],X20,Rencontres_N3_PN_Rx[Peages]),"")</f>
        <v>0</v>
      </c>
      <c r="AD20" s="34">
        <f>IF(X20&lt;&gt;"",SUMIF(Rencontres_N3_PN_Rx[Code_JA],X20,Rencontres_N3_PN_Rx[Frais_JA])-SUMIF(Rencontres_N3_PN_Rx[Code_JA],X20,Rencontres_N3_PN_Rx[frais defiscalisable]),"")</f>
        <v>106.2</v>
      </c>
      <c r="AE20" s="121">
        <f>IF(X20&lt;&gt;"",SUMIF(Rencontres_N3_PN_Rx[Code_JA],X20,Rencontres_N3_PN_Rx[frais defiscalisable]),"")</f>
        <v>0</v>
      </c>
    </row>
    <row r="21" spans="1:31" ht="15" customHeight="1" x14ac:dyDescent="0.25">
      <c r="A21" s="19" t="s">
        <v>3269</v>
      </c>
      <c r="B21" s="20" t="s">
        <v>175</v>
      </c>
      <c r="C21" s="21" t="s">
        <v>176</v>
      </c>
      <c r="D21" s="21" t="s">
        <v>50</v>
      </c>
      <c r="E21" s="21" t="s">
        <v>177</v>
      </c>
      <c r="F21" s="19">
        <v>61490</v>
      </c>
      <c r="G21" s="21" t="s">
        <v>178</v>
      </c>
      <c r="H21" s="42" t="s">
        <v>179</v>
      </c>
      <c r="I21" s="43" t="s">
        <v>180</v>
      </c>
      <c r="J21" s="43" t="s">
        <v>181</v>
      </c>
      <c r="K21" s="44" t="s">
        <v>182</v>
      </c>
      <c r="L21" s="21" t="s">
        <v>183</v>
      </c>
      <c r="M21" s="19">
        <f>_xlfn.XLOOKUP(tab_JA[[#This Row],[Code]],Rencontres_N3_PN_Rx[Code_JA],Rencontres_N3_PN_Rx[prest],0,0)</f>
        <v>2</v>
      </c>
      <c r="N21" s="19" t="s">
        <v>36</v>
      </c>
      <c r="O21" s="26"/>
      <c r="P21" s="27">
        <f>SUMIF(Rencontres_N3_PN_Rx[Code_JA],tab_JA[[#This Row],[Code]],Rencontres_N3_PN_Rx[Frais_JA])</f>
        <v>65.199999999999989</v>
      </c>
      <c r="S21" s="30" t="str">
        <v>DEST</v>
      </c>
      <c r="T21" s="30" t="str">
        <v>DELEURME</v>
      </c>
      <c r="U21" s="30" t="str">
        <v>Stephane</v>
      </c>
      <c r="W21" s="31" t="str">
        <f>IF(X21&lt;&gt;"",_xlfn.XLOOKUP(X21,tab_JA[Code],tab_JA[N_licence],"so"),"")</f>
        <v>50252</v>
      </c>
      <c r="X21" s="32" t="str">
        <v>LEPH</v>
      </c>
      <c r="Y21" s="32" t="str">
        <v>LEMPERIERE Philippe</v>
      </c>
      <c r="Z21" s="33">
        <v>3</v>
      </c>
      <c r="AA21" s="33">
        <f>IF(X21&lt;&gt;"",COUNTIFS(Rencontres_N3_PN_Rx[Code_JA],X21,Rencontres_N3_PN_Rx[JA à nommer],"OUI"),"")</f>
        <v>3</v>
      </c>
      <c r="AB21" s="33">
        <f>IF(X21&lt;&gt;"",SUMIF(Rencontres_N3_PN_Rx[Code_JA],X21,Rencontres_N3_PN_Rx[KM_JA]),"")</f>
        <v>129</v>
      </c>
      <c r="AC21" s="33">
        <f>IF(X21&lt;&gt;"",SUMIF(Rencontres_N3_PN_Rx[Code_JA],X21,Rencontres_N3_PN_Rx[Peages]),"")</f>
        <v>0</v>
      </c>
      <c r="AD21" s="34">
        <f>IF(X21&lt;&gt;"",SUMIF(Rencontres_N3_PN_Rx[Code_JA],X21,Rencontres_N3_PN_Rx[Frais_JA])-SUMIF(Rencontres_N3_PN_Rx[Code_JA],X21,Rencontres_N3_PN_Rx[frais defiscalisable]),"")</f>
        <v>113.7</v>
      </c>
      <c r="AE21" s="121">
        <f>IF(X21&lt;&gt;"",SUMIF(Rencontres_N3_PN_Rx[Code_JA],X21,Rencontres_N3_PN_Rx[frais defiscalisable]),"")</f>
        <v>0</v>
      </c>
    </row>
    <row r="22" spans="1:31" ht="15" customHeight="1" x14ac:dyDescent="0.25">
      <c r="A22" s="19" t="s">
        <v>165</v>
      </c>
      <c r="B22" s="46" t="s">
        <v>166</v>
      </c>
      <c r="C22" s="21" t="s">
        <v>167</v>
      </c>
      <c r="D22" s="21" t="s">
        <v>168</v>
      </c>
      <c r="E22" s="21" t="s">
        <v>169</v>
      </c>
      <c r="F22" s="19">
        <v>50110</v>
      </c>
      <c r="G22" s="21" t="s">
        <v>170</v>
      </c>
      <c r="H22" s="42" t="s">
        <v>171</v>
      </c>
      <c r="I22" s="43"/>
      <c r="J22" s="43" t="s">
        <v>172</v>
      </c>
      <c r="K22" s="45" t="s">
        <v>173</v>
      </c>
      <c r="L22" s="21" t="s">
        <v>174</v>
      </c>
      <c r="M22" s="19">
        <f>_xlfn.XLOOKUP(tab_JA[[#This Row],[Code]],Rencontres_N3_PN_Rx[Code_JA],Rencontres_N3_PN_Rx[prest],0,0)</f>
        <v>4</v>
      </c>
      <c r="N22" s="19" t="s">
        <v>36</v>
      </c>
      <c r="O22" s="26"/>
      <c r="P22" s="27">
        <f>SUMIF(Rencontres_N3_PN_Rx[Code_JA],tab_JA[[#This Row],[Code]],Rencontres_N3_PN_Rx[Frais_JA])</f>
        <v>65.599999999999994</v>
      </c>
      <c r="S22" s="30" t="str">
        <v>DUJO</v>
      </c>
      <c r="T22" s="30" t="str">
        <v>DUGUE</v>
      </c>
      <c r="U22" s="30" t="str">
        <v>Joel</v>
      </c>
      <c r="W22" s="31" t="str">
        <f>IF(X22&lt;&gt;"",_xlfn.XLOOKUP(X22,tab_JA[Code],tab_JA[N_licence],"so"),"")</f>
        <v>5016088</v>
      </c>
      <c r="X22" s="32" t="str">
        <v>LEPLA</v>
      </c>
      <c r="Y22" s="32" t="str">
        <v>LEPILLIEZ Laurent</v>
      </c>
      <c r="Z22" s="33">
        <v>3</v>
      </c>
      <c r="AA22" s="33">
        <f>IF(X22&lt;&gt;"",COUNTIFS(Rencontres_N3_PN_Rx[Code_JA],X22,Rencontres_N3_PN_Rx[JA à nommer],"OUI"),"")</f>
        <v>1</v>
      </c>
      <c r="AB22" s="33">
        <f>IF(X22&lt;&gt;"",SUMIF(Rencontres_N3_PN_Rx[Code_JA],X22,Rencontres_N3_PN_Rx[KM_JA]),"")</f>
        <v>106</v>
      </c>
      <c r="AC22" s="33">
        <f>IF(X22&lt;&gt;"",SUMIF(Rencontres_N3_PN_Rx[Code_JA],X22,Rencontres_N3_PN_Rx[Peages]),"")</f>
        <v>0</v>
      </c>
      <c r="AD22" s="34">
        <f>IF(X22&lt;&gt;"",SUMIF(Rencontres_N3_PN_Rx[Code_JA],X22,Rencontres_N3_PN_Rx[Frais_JA])-SUMIF(Rencontres_N3_PN_Rx[Code_JA],X22,Rencontres_N3_PN_Rx[frais defiscalisable]),"")</f>
        <v>56.8</v>
      </c>
      <c r="AE22" s="121">
        <f>IF(X22&lt;&gt;"",SUMIF(Rencontres_N3_PN_Rx[Code_JA],X22,Rencontres_N3_PN_Rx[frais defiscalisable]),"")</f>
        <v>0</v>
      </c>
    </row>
    <row r="23" spans="1:31" ht="15" customHeight="1" x14ac:dyDescent="0.25">
      <c r="A23" s="19" t="s">
        <v>184</v>
      </c>
      <c r="B23" s="46" t="s">
        <v>185</v>
      </c>
      <c r="C23" s="21" t="s">
        <v>176</v>
      </c>
      <c r="D23" s="21" t="s">
        <v>186</v>
      </c>
      <c r="E23" s="21" t="s">
        <v>177</v>
      </c>
      <c r="F23" s="19">
        <v>61490</v>
      </c>
      <c r="G23" s="21" t="s">
        <v>178</v>
      </c>
      <c r="H23" s="42" t="s">
        <v>187</v>
      </c>
      <c r="I23" s="43" t="s">
        <v>180</v>
      </c>
      <c r="J23" s="43" t="s">
        <v>188</v>
      </c>
      <c r="K23" s="45" t="s">
        <v>189</v>
      </c>
      <c r="L23" s="21" t="s">
        <v>190</v>
      </c>
      <c r="M23" s="19">
        <f>_xlfn.XLOOKUP(tab_JA[[#This Row],[Code]],Rencontres_N3_PN_Rx[Code_JA],Rencontres_N3_PN_Rx[prest],0,0)</f>
        <v>0</v>
      </c>
      <c r="N23" s="19" t="s">
        <v>36</v>
      </c>
      <c r="O23" s="26"/>
      <c r="P23" s="27">
        <f>SUMIF(Rencontres_N3_PN_Rx[Code_JA],tab_JA[[#This Row],[Code]],Rencontres_N3_PN_Rx[Frais_JA])</f>
        <v>0</v>
      </c>
      <c r="S23" s="30" t="str">
        <v>GODO</v>
      </c>
      <c r="T23" s="30" t="str">
        <v>GOUTTE</v>
      </c>
      <c r="U23" s="30" t="str">
        <v>Dominique</v>
      </c>
      <c r="W23" s="31" t="str">
        <f>IF(X23&lt;&gt;"",_xlfn.XLOOKUP(X23,tab_JA[Code],tab_JA[N_licence],"so"),"")</f>
        <v>5010602</v>
      </c>
      <c r="X23" s="32" t="str">
        <v>POMA</v>
      </c>
      <c r="Y23" s="32" t="str">
        <v>LEMONNIER Marie-Agnes</v>
      </c>
      <c r="Z23" s="33">
        <v>2</v>
      </c>
      <c r="AA23" s="33">
        <f>IF(X23&lt;&gt;"",COUNTIFS(Rencontres_N3_PN_Rx[Code_JA],X23,Rencontres_N3_PN_Rx[JA à nommer],"OUI"),"")</f>
        <v>2</v>
      </c>
      <c r="AB23" s="33">
        <f>IF(X23&lt;&gt;"",SUMIF(Rencontres_N3_PN_Rx[Code_JA],X23,Rencontres_N3_PN_Rx[KM_JA]),"")</f>
        <v>236</v>
      </c>
      <c r="AC23" s="33">
        <f>IF(X23&lt;&gt;"",SUMIF(Rencontres_N3_PN_Rx[Code_JA],X23,Rencontres_N3_PN_Rx[Peages]),"")</f>
        <v>0</v>
      </c>
      <c r="AD23" s="34">
        <f>IF(X23&lt;&gt;"",SUMIF(Rencontres_N3_PN_Rx[Code_JA],X23,Rencontres_N3_PN_Rx[Frais_JA])-SUMIF(Rencontres_N3_PN_Rx[Code_JA],X23,Rencontres_N3_PN_Rx[frais defiscalisable]),"")</f>
        <v>120.8</v>
      </c>
      <c r="AE23" s="121">
        <f>IF(X23&lt;&gt;"",SUMIF(Rencontres_N3_PN_Rx[Code_JA],X23,Rencontres_N3_PN_Rx[frais defiscalisable]),"")</f>
        <v>0</v>
      </c>
    </row>
    <row r="24" spans="1:31" ht="15" customHeight="1" x14ac:dyDescent="0.25">
      <c r="A24" s="19" t="s">
        <v>248</v>
      </c>
      <c r="B24" s="20" t="s">
        <v>249</v>
      </c>
      <c r="C24" s="21" t="s">
        <v>250</v>
      </c>
      <c r="D24" s="21" t="s">
        <v>251</v>
      </c>
      <c r="E24" s="21" t="s">
        <v>252</v>
      </c>
      <c r="F24" s="19">
        <v>61300</v>
      </c>
      <c r="G24" s="21" t="s">
        <v>253</v>
      </c>
      <c r="H24" s="42" t="s">
        <v>254</v>
      </c>
      <c r="I24" s="43"/>
      <c r="J24" s="43" t="s">
        <v>255</v>
      </c>
      <c r="K24" s="44" t="s">
        <v>256</v>
      </c>
      <c r="L24" s="21" t="s">
        <v>257</v>
      </c>
      <c r="M24" s="19">
        <f>_xlfn.XLOOKUP(tab_JA[[#This Row],[Code]],Rencontres_N3_PN_Rx[Code_JA],Rencontres_N3_PN_Rx[prest],0,0)</f>
        <v>0</v>
      </c>
      <c r="N24" s="19" t="s">
        <v>36</v>
      </c>
      <c r="O24" s="26"/>
      <c r="P24" s="27">
        <f>SUMIF(Rencontres_N3_PN_Rx[Code_JA],tab_JA[[#This Row],[Code]],Rencontres_N3_PN_Rx[Frais_JA])</f>
        <v>0</v>
      </c>
      <c r="S24" s="30" t="str">
        <v>GUDA</v>
      </c>
      <c r="T24" s="30" t="str">
        <v>GUESPIN</v>
      </c>
      <c r="U24" s="30" t="str">
        <v>David</v>
      </c>
      <c r="W24" s="31" t="str">
        <f>IF(X24&lt;&gt;"",_xlfn.XLOOKUP(X24,tab_JA[Code],tab_JA[N_licence],"so"),"")</f>
        <v>6112195</v>
      </c>
      <c r="X24" s="32" t="str">
        <v>BELUD</v>
      </c>
      <c r="Y24" s="32" t="str">
        <v>BELLAND Ludovic</v>
      </c>
      <c r="Z24" s="33">
        <v>2</v>
      </c>
      <c r="AA24" s="33">
        <f>IF(X24&lt;&gt;"",COUNTIFS(Rencontres_N3_PN_Rx[Code_JA],X24,Rencontres_N3_PN_Rx[JA à nommer],"OUI"),"")</f>
        <v>1</v>
      </c>
      <c r="AB24" s="33">
        <f>IF(X24&lt;&gt;"",SUMIF(Rencontres_N3_PN_Rx[Code_JA],X24,Rencontres_N3_PN_Rx[KM_JA]),"")</f>
        <v>134</v>
      </c>
      <c r="AC24" s="33">
        <f>IF(X24&lt;&gt;"",SUMIF(Rencontres_N3_PN_Rx[Code_JA],X24,Rencontres_N3_PN_Rx[Peages]),"")</f>
        <v>0</v>
      </c>
      <c r="AD24" s="34">
        <f>IF(X24&lt;&gt;"",SUMIF(Rencontres_N3_PN_Rx[Code_JA],X24,Rencontres_N3_PN_Rx[Frais_JA])-SUMIF(Rencontres_N3_PN_Rx[Code_JA],X24,Rencontres_N3_PN_Rx[frais defiscalisable]),"")</f>
        <v>24.999999999999993</v>
      </c>
      <c r="AE24" s="121">
        <f>IF(X24&lt;&gt;"",SUMIF(Rencontres_N3_PN_Rx[Code_JA],X24,Rencontres_N3_PN_Rx[frais defiscalisable]),"")</f>
        <v>40.199999999999996</v>
      </c>
    </row>
    <row r="25" spans="1:31" ht="15" customHeight="1" x14ac:dyDescent="0.25">
      <c r="A25" s="19" t="s">
        <v>3272</v>
      </c>
      <c r="B25" s="46" t="s">
        <v>238</v>
      </c>
      <c r="C25" s="21" t="s">
        <v>239</v>
      </c>
      <c r="D25" s="21" t="s">
        <v>240</v>
      </c>
      <c r="E25" s="21" t="s">
        <v>241</v>
      </c>
      <c r="F25" s="19">
        <v>50570</v>
      </c>
      <c r="G25" s="21" t="s">
        <v>242</v>
      </c>
      <c r="H25" s="42" t="s">
        <v>243</v>
      </c>
      <c r="I25" s="43" t="s">
        <v>244</v>
      </c>
      <c r="J25" s="43" t="s">
        <v>245</v>
      </c>
      <c r="K25" s="45" t="s">
        <v>246</v>
      </c>
      <c r="L25" s="21" t="s">
        <v>247</v>
      </c>
      <c r="M25" s="19">
        <f>_xlfn.XLOOKUP(tab_JA[[#This Row],[Code]],Rencontres_N3_PN_Rx[Code_JA],Rencontres_N3_PN_Rx[prest],0,0)</f>
        <v>5</v>
      </c>
      <c r="N25" s="19" t="s">
        <v>36</v>
      </c>
      <c r="O25" s="26"/>
      <c r="P25" s="27">
        <f>SUMIF(Rencontres_N3_PN_Rx[Code_JA],tab_JA[[#This Row],[Code]],Rencontres_N3_PN_Rx[Frais_JA])</f>
        <v>76.400000000000006</v>
      </c>
      <c r="S25" s="30" t="str">
        <v>GUKE</v>
      </c>
      <c r="T25" s="30" t="str">
        <v>GUINGAND</v>
      </c>
      <c r="U25" s="30" t="str">
        <v>Kevin</v>
      </c>
      <c r="W25" s="31" t="str">
        <f>IF(X25&lt;&gt;"",_xlfn.XLOOKUP(X25,tab_JA[Code],tab_JA[N_licence],"so"),"")</f>
        <v>5010614</v>
      </c>
      <c r="X25" s="32" t="str">
        <v>LEYA</v>
      </c>
      <c r="Y25" s="32" t="str">
        <v>LEMETAIS Yannick</v>
      </c>
      <c r="Z25" s="33">
        <v>2</v>
      </c>
      <c r="AA25" s="33">
        <f>IF(X25&lt;&gt;"",COUNTIFS(Rencontres_N3_PN_Rx[Code_JA],X25,Rencontres_N3_PN_Rx[JA à nommer],"OUI"),"")</f>
        <v>2</v>
      </c>
      <c r="AB25" s="33">
        <f>IF(X25&lt;&gt;"",SUMIF(Rencontres_N3_PN_Rx[Code_JA],X25,Rencontres_N3_PN_Rx[KM_JA]),"")</f>
        <v>50</v>
      </c>
      <c r="AC25" s="33">
        <f>IF(X25&lt;&gt;"",SUMIF(Rencontres_N3_PN_Rx[Code_JA],X25,Rencontres_N3_PN_Rx[Peages]),"")</f>
        <v>0</v>
      </c>
      <c r="AD25" s="34">
        <f>IF(X25&lt;&gt;"",SUMIF(Rencontres_N3_PN_Rx[Code_JA],X25,Rencontres_N3_PN_Rx[Frais_JA])-SUMIF(Rencontres_N3_PN_Rx[Code_JA],X25,Rencontres_N3_PN_Rx[frais defiscalisable]),"")</f>
        <v>65</v>
      </c>
      <c r="AE25" s="121">
        <f>IF(X25&lt;&gt;"",SUMIF(Rencontres_N3_PN_Rx[Code_JA],X25,Rencontres_N3_PN_Rx[frais defiscalisable]),"")</f>
        <v>0</v>
      </c>
    </row>
    <row r="26" spans="1:31" ht="15" customHeight="1" x14ac:dyDescent="0.25">
      <c r="A26" s="19" t="s">
        <v>258</v>
      </c>
      <c r="B26" s="20" t="s">
        <v>259</v>
      </c>
      <c r="C26" s="21" t="s">
        <v>260</v>
      </c>
      <c r="D26" s="21" t="s">
        <v>261</v>
      </c>
      <c r="E26" s="21" t="s">
        <v>262</v>
      </c>
      <c r="F26" s="19">
        <v>76360</v>
      </c>
      <c r="G26" s="21" t="s">
        <v>263</v>
      </c>
      <c r="H26" s="42" t="s">
        <v>264</v>
      </c>
      <c r="I26" s="43"/>
      <c r="J26" s="43" t="s">
        <v>265</v>
      </c>
      <c r="K26" s="44" t="s">
        <v>88</v>
      </c>
      <c r="L26" s="21" t="s">
        <v>89</v>
      </c>
      <c r="M26" s="19">
        <f>_xlfn.XLOOKUP(tab_JA[[#This Row],[Code]],Rencontres_N3_PN_Rx[Code_JA],Rencontres_N3_PN_Rx[prest],0,0)</f>
        <v>0</v>
      </c>
      <c r="N26" s="19" t="s">
        <v>36</v>
      </c>
      <c r="O26" s="26"/>
      <c r="P26" s="27">
        <f>SUMIF(Rencontres_N3_PN_Rx[Code_JA],tab_JA[[#This Row],[Code]],Rencontres_N3_PN_Rx[Frais_JA])</f>
        <v>0</v>
      </c>
      <c r="S26" s="30" t="str">
        <v>GUYA</v>
      </c>
      <c r="T26" s="30" t="str">
        <v>GUILLARD</v>
      </c>
      <c r="U26" s="30" t="str">
        <v>Yannick</v>
      </c>
      <c r="W26" s="31" t="str">
        <f>IF(X26&lt;&gt;"",_xlfn.XLOOKUP(X26,tab_JA[Code],tab_JA[N_licence],"so"),"")</f>
        <v>5016277</v>
      </c>
      <c r="X26" s="32" t="str">
        <v>BANA</v>
      </c>
      <c r="Y26" s="32" t="str">
        <v>BASTIEN Natacha</v>
      </c>
      <c r="Z26" s="33">
        <v>2</v>
      </c>
      <c r="AA26" s="33">
        <f>IF(X26&lt;&gt;"",COUNTIFS(Rencontres_N3_PN_Rx[Code_JA],X26,Rencontres_N3_PN_Rx[JA à nommer],"OUI"),"")</f>
        <v>2</v>
      </c>
      <c r="AB26" s="33">
        <f>IF(X26&lt;&gt;"",SUMIF(Rencontres_N3_PN_Rx[Code_JA],X26,Rencontres_N3_PN_Rx[KM_JA]),"")</f>
        <v>60</v>
      </c>
      <c r="AC26" s="33">
        <f>IF(X26&lt;&gt;"",SUMIF(Rencontres_N3_PN_Rx[Code_JA],X26,Rencontres_N3_PN_Rx[Peages]),"")</f>
        <v>0</v>
      </c>
      <c r="AD26" s="34">
        <f>IF(X26&lt;&gt;"",SUMIF(Rencontres_N3_PN_Rx[Code_JA],X26,Rencontres_N3_PN_Rx[Frais_JA])-SUMIF(Rencontres_N3_PN_Rx[Code_JA],X26,Rencontres_N3_PN_Rx[frais defiscalisable]),"")</f>
        <v>68</v>
      </c>
      <c r="AE26" s="121">
        <f>IF(X26&lt;&gt;"",SUMIF(Rencontres_N3_PN_Rx[Code_JA],X26,Rencontres_N3_PN_Rx[frais defiscalisable]),"")</f>
        <v>0</v>
      </c>
    </row>
    <row r="27" spans="1:31" ht="15" customHeight="1" x14ac:dyDescent="0.25">
      <c r="A27" s="19" t="s">
        <v>316</v>
      </c>
      <c r="B27" s="20" t="s">
        <v>317</v>
      </c>
      <c r="C27" s="21" t="s">
        <v>318</v>
      </c>
      <c r="D27" s="21" t="s">
        <v>204</v>
      </c>
      <c r="E27" s="21" t="s">
        <v>319</v>
      </c>
      <c r="F27" s="19">
        <v>61000</v>
      </c>
      <c r="G27" s="21" t="s">
        <v>320</v>
      </c>
      <c r="H27" s="42" t="s">
        <v>321</v>
      </c>
      <c r="I27" s="43" t="s">
        <v>322</v>
      </c>
      <c r="J27" s="43" t="s">
        <v>323</v>
      </c>
      <c r="K27" s="44" t="s">
        <v>324</v>
      </c>
      <c r="L27" s="21" t="s">
        <v>325</v>
      </c>
      <c r="M27" s="19">
        <f>_xlfn.XLOOKUP(tab_JA[[#This Row],[Code]],Rencontres_N3_PN_Rx[Code_JA],Rencontres_N3_PN_Rx[prest],0,0)</f>
        <v>0</v>
      </c>
      <c r="N27" s="19" t="s">
        <v>36</v>
      </c>
      <c r="O27" s="26"/>
      <c r="P27" s="27">
        <f>SUMIF(Rencontres_N3_PN_Rx[Code_JA],tab_JA[[#This Row],[Code]],Rencontres_N3_PN_Rx[Frais_JA])</f>
        <v>0</v>
      </c>
      <c r="S27" s="30" t="str">
        <v>HEDA</v>
      </c>
      <c r="T27" s="30" t="str">
        <v>HEBERT</v>
      </c>
      <c r="U27" s="30" t="str">
        <v>David</v>
      </c>
      <c r="W27" s="31" t="str">
        <f>IF(X27&lt;&gt;"",_xlfn.XLOOKUP(X27,tab_JA[Code],tab_JA[N_licence],"so"),"")</f>
        <v>61953</v>
      </c>
      <c r="X27" s="32" t="str">
        <v>LENO</v>
      </c>
      <c r="Y27" s="32" t="str">
        <v>LEBOURG Norbert</v>
      </c>
      <c r="Z27" s="33">
        <v>2</v>
      </c>
      <c r="AA27" s="33">
        <f>IF(X27&lt;&gt;"",COUNTIFS(Rencontres_N3_PN_Rx[Code_JA],X27,Rencontres_N3_PN_Rx[JA à nommer],"OUI"),"")</f>
        <v>2</v>
      </c>
      <c r="AB27" s="33">
        <f>IF(X27&lt;&gt;"",SUMIF(Rencontres_N3_PN_Rx[Code_JA],X27,Rencontres_N3_PN_Rx[KM_JA]),"")</f>
        <v>118</v>
      </c>
      <c r="AC27" s="33">
        <f>IF(X27&lt;&gt;"",SUMIF(Rencontres_N3_PN_Rx[Code_JA],X27,Rencontres_N3_PN_Rx[Peages]),"")</f>
        <v>0</v>
      </c>
      <c r="AD27" s="34">
        <f>IF(X27&lt;&gt;"",SUMIF(Rencontres_N3_PN_Rx[Code_JA],X27,Rencontres_N3_PN_Rx[Frais_JA])-SUMIF(Rencontres_N3_PN_Rx[Code_JA],X27,Rencontres_N3_PN_Rx[frais defiscalisable]),"")</f>
        <v>85.4</v>
      </c>
      <c r="AE27" s="121">
        <f>IF(X27&lt;&gt;"",SUMIF(Rencontres_N3_PN_Rx[Code_JA],X27,Rencontres_N3_PN_Rx[frais defiscalisable]),"")</f>
        <v>0</v>
      </c>
    </row>
    <row r="28" spans="1:31" ht="15" customHeight="1" x14ac:dyDescent="0.25">
      <c r="A28" s="19" t="s">
        <v>276</v>
      </c>
      <c r="B28" s="20" t="s">
        <v>277</v>
      </c>
      <c r="C28" s="21" t="s">
        <v>278</v>
      </c>
      <c r="D28" s="21" t="s">
        <v>279</v>
      </c>
      <c r="E28" s="21" t="s">
        <v>280</v>
      </c>
      <c r="F28" s="19">
        <v>95300</v>
      </c>
      <c r="G28" s="21" t="s">
        <v>281</v>
      </c>
      <c r="H28" s="42" t="s">
        <v>282</v>
      </c>
      <c r="I28" s="43" t="s">
        <v>283</v>
      </c>
      <c r="J28" s="43" t="s">
        <v>283</v>
      </c>
      <c r="K28" s="44" t="s">
        <v>284</v>
      </c>
      <c r="L28" s="21" t="s">
        <v>285</v>
      </c>
      <c r="M28" s="19">
        <f>_xlfn.XLOOKUP(tab_JA[[#This Row],[Code]],Rencontres_N3_PN_Rx[Code_JA],Rencontres_N3_PN_Rx[prest],0,0)</f>
        <v>0</v>
      </c>
      <c r="N28" s="19" t="s">
        <v>36</v>
      </c>
      <c r="O28" s="26"/>
      <c r="P28" s="27">
        <f>SUMIF(Rencontres_N3_PN_Rx[Code_JA],tab_JA[[#This Row],[Code]],Rencontres_N3_PN_Rx[Frais_JA])</f>
        <v>0</v>
      </c>
      <c r="S28" s="30" t="str">
        <v>HIJU</v>
      </c>
      <c r="T28" s="30" t="str">
        <v>HIMPE</v>
      </c>
      <c r="U28" s="30" t="str">
        <v>Julien</v>
      </c>
      <c r="W28" s="31" t="str">
        <f>IF(X28&lt;&gt;"",_xlfn.XLOOKUP(X28,tab_JA[Code],tab_JA[N_licence],"so"),"")</f>
        <v>50908</v>
      </c>
      <c r="X28" s="32" t="str">
        <v>JOPH</v>
      </c>
      <c r="Y28" s="32" t="str">
        <v>JOLITON Philippe</v>
      </c>
      <c r="Z28" s="33">
        <v>2</v>
      </c>
      <c r="AA28" s="33">
        <f>IF(X28&lt;&gt;"",COUNTIFS(Rencontres_N3_PN_Rx[Code_JA],X28,Rencontres_N3_PN_Rx[JA à nommer],"OUI"),"")</f>
        <v>2</v>
      </c>
      <c r="AB28" s="33">
        <f>IF(X28&lt;&gt;"",SUMIF(Rencontres_N3_PN_Rx[Code_JA],X28,Rencontres_N3_PN_Rx[KM_JA]),"")</f>
        <v>120</v>
      </c>
      <c r="AC28" s="33">
        <f>IF(X28&lt;&gt;"",SUMIF(Rencontres_N3_PN_Rx[Code_JA],X28,Rencontres_N3_PN_Rx[Peages]),"")</f>
        <v>0</v>
      </c>
      <c r="AD28" s="34">
        <f>IF(X28&lt;&gt;"",SUMIF(Rencontres_N3_PN_Rx[Code_JA],X28,Rencontres_N3_PN_Rx[Frais_JA])-SUMIF(Rencontres_N3_PN_Rx[Code_JA],X28,Rencontres_N3_PN_Rx[frais defiscalisable]),"")</f>
        <v>86</v>
      </c>
      <c r="AE28" s="121">
        <f>IF(X28&lt;&gt;"",SUMIF(Rencontres_N3_PN_Rx[Code_JA],X28,Rencontres_N3_PN_Rx[frais defiscalisable]),"")</f>
        <v>0</v>
      </c>
    </row>
    <row r="29" spans="1:31" ht="15" customHeight="1" x14ac:dyDescent="0.25">
      <c r="A29" s="19" t="s">
        <v>296</v>
      </c>
      <c r="B29" s="20" t="s">
        <v>297</v>
      </c>
      <c r="C29" s="21" t="s">
        <v>298</v>
      </c>
      <c r="D29" s="21" t="s">
        <v>299</v>
      </c>
      <c r="E29" s="21" t="s">
        <v>300</v>
      </c>
      <c r="F29" s="19">
        <v>27780</v>
      </c>
      <c r="G29" s="21" t="s">
        <v>301</v>
      </c>
      <c r="H29" s="42" t="s">
        <v>302</v>
      </c>
      <c r="I29" s="43" t="s">
        <v>303</v>
      </c>
      <c r="J29" s="43" t="s">
        <v>304</v>
      </c>
      <c r="K29" s="44" t="s">
        <v>305</v>
      </c>
      <c r="L29" s="21" t="s">
        <v>306</v>
      </c>
      <c r="M29" s="19">
        <f>_xlfn.XLOOKUP(tab_JA[[#This Row],[Code]],Rencontres_N3_PN_Rx[Code_JA],Rencontres_N3_PN_Rx[prest],0,0)</f>
        <v>0</v>
      </c>
      <c r="N29" s="19" t="s">
        <v>36</v>
      </c>
      <c r="O29" s="26"/>
      <c r="P29" s="27">
        <f>SUMIF(Rencontres_N3_PN_Rx[Code_JA],tab_JA[[#This Row],[Code]],Rencontres_N3_PN_Rx[Frais_JA])</f>
        <v>0</v>
      </c>
      <c r="S29" s="30" t="str">
        <v>HUEM</v>
      </c>
      <c r="T29" s="30" t="str">
        <v>HUE</v>
      </c>
      <c r="U29" s="30" t="str">
        <v>Emile</v>
      </c>
      <c r="W29" s="31" t="str">
        <f>IF(X29&lt;&gt;"",_xlfn.XLOOKUP(X29,tab_JA[Code],tab_JA[N_licence],"so"),"")</f>
        <v>50528</v>
      </c>
      <c r="X29" s="32" t="str">
        <v>DEJO</v>
      </c>
      <c r="Y29" s="32" t="str">
        <v>DERENNE Joël</v>
      </c>
      <c r="Z29" s="33">
        <v>2</v>
      </c>
      <c r="AA29" s="33">
        <f>IF(X29&lt;&gt;"",COUNTIFS(Rencontres_N3_PN_Rx[Code_JA],X29,Rencontres_N3_PN_Rx[JA à nommer],"OUI"),"")</f>
        <v>2</v>
      </c>
      <c r="AB29" s="33">
        <f>IF(X29&lt;&gt;"",SUMIF(Rencontres_N3_PN_Rx[Code_JA],X29,Rencontres_N3_PN_Rx[KM_JA]),"")</f>
        <v>126</v>
      </c>
      <c r="AC29" s="33">
        <f>IF(X29&lt;&gt;"",SUMIF(Rencontres_N3_PN_Rx[Code_JA],X29,Rencontres_N3_PN_Rx[Peages]),"")</f>
        <v>0</v>
      </c>
      <c r="AD29" s="34">
        <f>IF(X29&lt;&gt;"",SUMIF(Rencontres_N3_PN_Rx[Code_JA],X29,Rencontres_N3_PN_Rx[Frais_JA])-SUMIF(Rencontres_N3_PN_Rx[Code_JA],X29,Rencontres_N3_PN_Rx[frais defiscalisable]),"")</f>
        <v>87.8</v>
      </c>
      <c r="AE29" s="121">
        <f>IF(X29&lt;&gt;"",SUMIF(Rencontres_N3_PN_Rx[Code_JA],X29,Rencontres_N3_PN_Rx[frais defiscalisable]),"")</f>
        <v>0</v>
      </c>
    </row>
    <row r="30" spans="1:31" ht="15" customHeight="1" x14ac:dyDescent="0.25">
      <c r="A30" s="19" t="s">
        <v>286</v>
      </c>
      <c r="B30" s="46" t="s">
        <v>287</v>
      </c>
      <c r="C30" s="21" t="s">
        <v>288</v>
      </c>
      <c r="D30" s="21" t="s">
        <v>289</v>
      </c>
      <c r="E30" s="21" t="s">
        <v>290</v>
      </c>
      <c r="F30" s="19">
        <v>50120</v>
      </c>
      <c r="G30" s="21" t="s">
        <v>170</v>
      </c>
      <c r="H30" s="42" t="s">
        <v>291</v>
      </c>
      <c r="I30" s="43" t="s">
        <v>292</v>
      </c>
      <c r="J30" s="43" t="s">
        <v>293</v>
      </c>
      <c r="K30" s="45" t="s">
        <v>294</v>
      </c>
      <c r="L30" s="21" t="s">
        <v>295</v>
      </c>
      <c r="M30" s="19">
        <f>_xlfn.XLOOKUP(tab_JA[[#This Row],[Code]],Rencontres_N3_PN_Rx[Code_JA],Rencontres_N3_PN_Rx[prest],0,0)</f>
        <v>4</v>
      </c>
      <c r="N30" s="19" t="s">
        <v>36</v>
      </c>
      <c r="O30" s="26"/>
      <c r="P30" s="27">
        <f>SUMIF(Rencontres_N3_PN_Rx[Code_JA],tab_JA[[#This Row],[Code]],Rencontres_N3_PN_Rx[Frais_JA])</f>
        <v>0</v>
      </c>
      <c r="S30" s="30" t="str">
        <v>JOCO</v>
      </c>
      <c r="T30" s="30" t="str">
        <v>JOUIN JEHAN</v>
      </c>
      <c r="U30" s="30" t="str">
        <v>Corentin</v>
      </c>
      <c r="W30" s="31" t="str">
        <f>IF(X30&lt;&gt;"",_xlfn.XLOOKUP(X30,tab_JA[Code],tab_JA[N_licence],"so"),"")</f>
        <v>5011705</v>
      </c>
      <c r="X30" s="32" t="str">
        <v>ORJE</v>
      </c>
      <c r="Y30" s="32" t="str">
        <v>ORRIOLS Jean-Marc</v>
      </c>
      <c r="Z30" s="33">
        <v>1</v>
      </c>
      <c r="AA30" s="33">
        <f>IF(X30&lt;&gt;"",COUNTIFS(Rencontres_N3_PN_Rx[Code_JA],X30,Rencontres_N3_PN_Rx[JA à nommer],"OUI"),"")</f>
        <v>1</v>
      </c>
      <c r="AB30" s="33">
        <f>IF(X30&lt;&gt;"",SUMIF(Rencontres_N3_PN_Rx[Code_JA],X30,Rencontres_N3_PN_Rx[KM_JA]),"")</f>
        <v>18</v>
      </c>
      <c r="AC30" s="33">
        <f>IF(X30&lt;&gt;"",SUMIF(Rencontres_N3_PN_Rx[Code_JA],X30,Rencontres_N3_PN_Rx[Peages]),"")</f>
        <v>0</v>
      </c>
      <c r="AD30" s="34">
        <f>IF(X30&lt;&gt;"",SUMIF(Rencontres_N3_PN_Rx[Code_JA],X30,Rencontres_N3_PN_Rx[Frais_JA])-SUMIF(Rencontres_N3_PN_Rx[Code_JA],X30,Rencontres_N3_PN_Rx[frais defiscalisable]),"")</f>
        <v>30.4</v>
      </c>
      <c r="AE30" s="121">
        <f>IF(X30&lt;&gt;"",SUMIF(Rencontres_N3_PN_Rx[Code_JA],X30,Rencontres_N3_PN_Rx[frais defiscalisable]),"")</f>
        <v>0</v>
      </c>
    </row>
    <row r="31" spans="1:31" ht="15" customHeight="1" x14ac:dyDescent="0.25">
      <c r="A31" s="19" t="s">
        <v>307</v>
      </c>
      <c r="B31" s="20" t="s">
        <v>308</v>
      </c>
      <c r="C31" s="21" t="s">
        <v>309</v>
      </c>
      <c r="D31" s="21" t="s">
        <v>310</v>
      </c>
      <c r="E31" s="21" t="s">
        <v>311</v>
      </c>
      <c r="F31" s="19">
        <v>50570</v>
      </c>
      <c r="G31" s="21" t="s">
        <v>312</v>
      </c>
      <c r="H31" s="42" t="s">
        <v>313</v>
      </c>
      <c r="I31" s="43" t="s">
        <v>314</v>
      </c>
      <c r="J31" s="43" t="s">
        <v>315</v>
      </c>
      <c r="K31" s="44" t="s">
        <v>246</v>
      </c>
      <c r="L31" s="21" t="s">
        <v>247</v>
      </c>
      <c r="M31" s="19">
        <f>_xlfn.XLOOKUP(tab_JA[[#This Row],[Code]],Rencontres_N3_PN_Rx[Code_JA],Rencontres_N3_PN_Rx[prest],0,0)</f>
        <v>3</v>
      </c>
      <c r="N31" s="19" t="s">
        <v>36</v>
      </c>
      <c r="O31" s="26"/>
      <c r="P31" s="27">
        <f>SUMIF(Rencontres_N3_PN_Rx[Code_JA],tab_JA[[#This Row],[Code]],Rencontres_N3_PN_Rx[Frais_JA])</f>
        <v>116.03999999999999</v>
      </c>
      <c r="S31" s="30" t="str">
        <v>JOJE</v>
      </c>
      <c r="T31" s="30" t="str">
        <v>JOURDAIN</v>
      </c>
      <c r="U31" s="30" t="str">
        <v>Jean-Francois</v>
      </c>
      <c r="W31" s="31" t="str">
        <f>IF(X31&lt;&gt;"",_xlfn.XLOOKUP(X31,tab_JA[Code],tab_JA[N_licence],"so"),"")</f>
        <v>502277</v>
      </c>
      <c r="X31" s="32" t="str">
        <v>HUEM</v>
      </c>
      <c r="Y31" s="32" t="str">
        <v>HUE Emile</v>
      </c>
      <c r="Z31" s="33">
        <v>1</v>
      </c>
      <c r="AA31" s="33">
        <f>IF(X31&lt;&gt;"",COUNTIFS(Rencontres_N3_PN_Rx[Code_JA],X31,Rencontres_N3_PN_Rx[JA à nommer],"OUI"),"")</f>
        <v>1</v>
      </c>
      <c r="AB31" s="33">
        <f>IF(X31&lt;&gt;"",SUMIF(Rencontres_N3_PN_Rx[Code_JA],X31,Rencontres_N3_PN_Rx[KM_JA]),"")</f>
        <v>0</v>
      </c>
      <c r="AC31" s="33">
        <f>IF(X31&lt;&gt;"",SUMIF(Rencontres_N3_PN_Rx[Code_JA],X31,Rencontres_N3_PN_Rx[Peages]),"")</f>
        <v>0</v>
      </c>
      <c r="AD31" s="34">
        <f>IF(X31&lt;&gt;"",SUMIF(Rencontres_N3_PN_Rx[Code_JA],X31,Rencontres_N3_PN_Rx[Frais_JA])-SUMIF(Rencontres_N3_PN_Rx[Code_JA],X31,Rencontres_N3_PN_Rx[frais defiscalisable]),"")</f>
        <v>25</v>
      </c>
      <c r="AE31" s="121">
        <f>IF(X31&lt;&gt;"",SUMIF(Rencontres_N3_PN_Rx[Code_JA],X31,Rencontres_N3_PN_Rx[frais defiscalisable]),"")</f>
        <v>0</v>
      </c>
    </row>
    <row r="32" spans="1:31" ht="15" customHeight="1" x14ac:dyDescent="0.25">
      <c r="A32" s="19" t="s">
        <v>266</v>
      </c>
      <c r="B32" s="20" t="s">
        <v>267</v>
      </c>
      <c r="C32" s="21" t="s">
        <v>268</v>
      </c>
      <c r="D32" s="21" t="s">
        <v>102</v>
      </c>
      <c r="E32" s="21" t="s">
        <v>269</v>
      </c>
      <c r="F32" s="19">
        <v>27950</v>
      </c>
      <c r="G32" s="21" t="s">
        <v>270</v>
      </c>
      <c r="H32" s="42" t="s">
        <v>271</v>
      </c>
      <c r="I32" s="43" t="s">
        <v>272</v>
      </c>
      <c r="J32" s="43" t="s">
        <v>273</v>
      </c>
      <c r="K32" s="44" t="s">
        <v>274</v>
      </c>
      <c r="L32" s="21" t="s">
        <v>275</v>
      </c>
      <c r="M32" s="19">
        <f>_xlfn.XLOOKUP(tab_JA[[#This Row],[Code]],Rencontres_N3_PN_Rx[Code_JA],Rencontres_N3_PN_Rx[prest],0,0)</f>
        <v>0</v>
      </c>
      <c r="N32" s="19" t="s">
        <v>36</v>
      </c>
      <c r="O32" s="26"/>
      <c r="P32" s="27">
        <f>SUMIF(Rencontres_N3_PN_Rx[Code_JA],tab_JA[[#This Row],[Code]],Rencontres_N3_PN_Rx[Frais_JA])</f>
        <v>0</v>
      </c>
      <c r="S32" s="30" t="str">
        <v>JOPH</v>
      </c>
      <c r="T32" s="30" t="str">
        <v>JOLITON</v>
      </c>
      <c r="U32" s="30" t="str">
        <v>Philippe</v>
      </c>
      <c r="W32" s="31" t="str">
        <f>IF(X32&lt;&gt;"",_xlfn.XLOOKUP(X32,tab_JA[Code],tab_JA[N_licence],"so"),"")</f>
        <v>5017949</v>
      </c>
      <c r="X32" s="32" t="str">
        <v>HEDA</v>
      </c>
      <c r="Y32" s="32" t="str">
        <v>HEBERT David</v>
      </c>
      <c r="Z32" s="33">
        <v>1</v>
      </c>
      <c r="AA32" s="33">
        <f>IF(X32&lt;&gt;"",COUNTIFS(Rencontres_N3_PN_Rx[Code_JA],X32,Rencontres_N3_PN_Rx[JA à nommer],"OUI"),"")</f>
        <v>1</v>
      </c>
      <c r="AB32" s="33">
        <f>IF(X32&lt;&gt;"",SUMIF(Rencontres_N3_PN_Rx[Code_JA],X32,Rencontres_N3_PN_Rx[KM_JA]),"")</f>
        <v>90</v>
      </c>
      <c r="AC32" s="33">
        <f>IF(X32&lt;&gt;"",SUMIF(Rencontres_N3_PN_Rx[Code_JA],X32,Rencontres_N3_PN_Rx[Peages]),"")</f>
        <v>0</v>
      </c>
      <c r="AD32" s="34">
        <f>IF(X32&lt;&gt;"",SUMIF(Rencontres_N3_PN_Rx[Code_JA],X32,Rencontres_N3_PN_Rx[Frais_JA])-SUMIF(Rencontres_N3_PN_Rx[Code_JA],X32,Rencontres_N3_PN_Rx[frais defiscalisable]),"")</f>
        <v>52</v>
      </c>
      <c r="AE32" s="121">
        <f>IF(X32&lt;&gt;"",SUMIF(Rencontres_N3_PN_Rx[Code_JA],X32,Rencontres_N3_PN_Rx[frais defiscalisable]),"")</f>
        <v>0</v>
      </c>
    </row>
    <row r="33" spans="1:31" ht="15" customHeight="1" x14ac:dyDescent="0.25">
      <c r="A33" s="19" t="s">
        <v>369</v>
      </c>
      <c r="B33" s="20" t="s">
        <v>370</v>
      </c>
      <c r="C33" s="21" t="s">
        <v>371</v>
      </c>
      <c r="D33" s="21" t="s">
        <v>204</v>
      </c>
      <c r="E33" s="21" t="s">
        <v>372</v>
      </c>
      <c r="F33" s="19">
        <v>61600</v>
      </c>
      <c r="G33" s="21" t="s">
        <v>373</v>
      </c>
      <c r="H33" s="42" t="s">
        <v>374</v>
      </c>
      <c r="I33" s="43"/>
      <c r="J33" s="43" t="s">
        <v>375</v>
      </c>
      <c r="K33" s="44" t="s">
        <v>376</v>
      </c>
      <c r="L33" s="21" t="s">
        <v>377</v>
      </c>
      <c r="M33" s="19">
        <f>_xlfn.XLOOKUP(tab_JA[[#This Row],[Code]],Rencontres_N3_PN_Rx[Code_JA],Rencontres_N3_PN_Rx[prest],0,0)</f>
        <v>0</v>
      </c>
      <c r="N33" s="19" t="s">
        <v>36</v>
      </c>
      <c r="O33" s="26"/>
      <c r="P33" s="27">
        <f>SUMIF(Rencontres_N3_PN_Rx[Code_JA],tab_JA[[#This Row],[Code]],Rencontres_N3_PN_Rx[Frais_JA])</f>
        <v>0</v>
      </c>
      <c r="S33" s="30" t="str">
        <v>LAFR</v>
      </c>
      <c r="T33" s="30" t="str">
        <v>LAVIGNE</v>
      </c>
      <c r="U33" s="30" t="str">
        <v>Francois</v>
      </c>
      <c r="W33" s="31" t="str">
        <f>IF(X33&lt;&gt;"",_xlfn.XLOOKUP(X33,tab_JA[Code],tab_JA[N_licence],"so"),"")</f>
        <v>5016053</v>
      </c>
      <c r="X33" s="32" t="str">
        <v>YRAN</v>
      </c>
      <c r="Y33" s="32" t="str">
        <v>YREUX Antoine</v>
      </c>
      <c r="Z33" s="33">
        <v>1</v>
      </c>
      <c r="AA33" s="33">
        <f>IF(X33&lt;&gt;"",COUNTIFS(Rencontres_N3_PN_Rx[Code_JA],X33,Rencontres_N3_PN_Rx[JA à nommer],"OUI"),"")</f>
        <v>1</v>
      </c>
      <c r="AB33" s="33">
        <f>IF(X33&lt;&gt;"",SUMIF(Rencontres_N3_PN_Rx[Code_JA],X33,Rencontres_N3_PN_Rx[KM_JA]),"")</f>
        <v>36</v>
      </c>
      <c r="AC33" s="33">
        <f>IF(X33&lt;&gt;"",SUMIF(Rencontres_N3_PN_Rx[Code_JA],X33,Rencontres_N3_PN_Rx[Peages]),"")</f>
        <v>0</v>
      </c>
      <c r="AD33" s="34">
        <f>IF(X33&lt;&gt;"",SUMIF(Rencontres_N3_PN_Rx[Code_JA],X33,Rencontres_N3_PN_Rx[Frais_JA])-SUMIF(Rencontres_N3_PN_Rx[Code_JA],X33,Rencontres_N3_PN_Rx[frais defiscalisable]),"")</f>
        <v>35.799999999999997</v>
      </c>
      <c r="AE33" s="121">
        <f>IF(X33&lt;&gt;"",SUMIF(Rencontres_N3_PN_Rx[Code_JA],X33,Rencontres_N3_PN_Rx[frais defiscalisable]),"")</f>
        <v>0</v>
      </c>
    </row>
    <row r="34" spans="1:31" ht="15" customHeight="1" x14ac:dyDescent="0.25">
      <c r="A34" s="19" t="s">
        <v>396</v>
      </c>
      <c r="B34" s="20" t="s">
        <v>397</v>
      </c>
      <c r="C34" s="21" t="s">
        <v>398</v>
      </c>
      <c r="D34" s="21" t="s">
        <v>399</v>
      </c>
      <c r="E34" s="21" t="s">
        <v>400</v>
      </c>
      <c r="F34" s="19">
        <v>14130</v>
      </c>
      <c r="G34" s="21" t="s">
        <v>401</v>
      </c>
      <c r="H34" s="42" t="s">
        <v>402</v>
      </c>
      <c r="I34" s="43"/>
      <c r="J34" s="43" t="s">
        <v>403</v>
      </c>
      <c r="K34" s="44" t="s">
        <v>404</v>
      </c>
      <c r="L34" s="21" t="s">
        <v>405</v>
      </c>
      <c r="M34" s="19">
        <f>_xlfn.XLOOKUP(tab_JA[[#This Row],[Code]],Rencontres_N3_PN_Rx[Code_JA],Rencontres_N3_PN_Rx[prest],0,0)</f>
        <v>0</v>
      </c>
      <c r="N34" s="19" t="s">
        <v>36</v>
      </c>
      <c r="O34" s="26"/>
      <c r="P34" s="27">
        <f>SUMIF(Rencontres_N3_PN_Rx[Code_JA],tab_JA[[#This Row],[Code]],Rencontres_N3_PN_Rx[Frais_JA])</f>
        <v>0</v>
      </c>
      <c r="S34" s="30" t="str">
        <v>LEBR</v>
      </c>
      <c r="T34" s="30" t="str">
        <v>LETENDRE</v>
      </c>
      <c r="U34" s="30" t="str">
        <v>Brigitte</v>
      </c>
      <c r="W34" s="31" t="str">
        <f>IF(X34&lt;&gt;"",_xlfn.XLOOKUP(X34,tab_JA[Code],tab_JA[N_licence],"so"),"")</f>
        <v>502310</v>
      </c>
      <c r="X34" s="32" t="str">
        <v>LEJP</v>
      </c>
      <c r="Y34" s="32" t="str">
        <v>LEGOUBEY Jean Pierre</v>
      </c>
      <c r="Z34" s="33">
        <v>1</v>
      </c>
      <c r="AA34" s="33">
        <f>IF(X34&lt;&gt;"",COUNTIFS(Rencontres_N3_PN_Rx[Code_JA],X34,Rencontres_N3_PN_Rx[JA à nommer],"OUI"),"")</f>
        <v>1</v>
      </c>
      <c r="AB34" s="33">
        <f>IF(X34&lt;&gt;"",SUMIF(Rencontres_N3_PN_Rx[Code_JA],X34,Rencontres_N3_PN_Rx[KM_JA]),"")</f>
        <v>30</v>
      </c>
      <c r="AC34" s="33">
        <f>IF(X34&lt;&gt;"",SUMIF(Rencontres_N3_PN_Rx[Code_JA],X34,Rencontres_N3_PN_Rx[Peages]),"")</f>
        <v>0</v>
      </c>
      <c r="AD34" s="34">
        <f>IF(X34&lt;&gt;"",SUMIF(Rencontres_N3_PN_Rx[Code_JA],X34,Rencontres_N3_PN_Rx[Frais_JA])-SUMIF(Rencontres_N3_PN_Rx[Code_JA],X34,Rencontres_N3_PN_Rx[frais defiscalisable]),"")</f>
        <v>34</v>
      </c>
      <c r="AE34" s="121">
        <f>IF(X34&lt;&gt;"",SUMIF(Rencontres_N3_PN_Rx[Code_JA],X34,Rencontres_N3_PN_Rx[frais defiscalisable]),"")</f>
        <v>0</v>
      </c>
    </row>
    <row r="35" spans="1:31" ht="15" customHeight="1" x14ac:dyDescent="0.25">
      <c r="A35" s="19" t="s">
        <v>378</v>
      </c>
      <c r="B35" s="46" t="s">
        <v>379</v>
      </c>
      <c r="C35" s="21" t="s">
        <v>380</v>
      </c>
      <c r="D35" s="21" t="s">
        <v>381</v>
      </c>
      <c r="E35" s="21" t="s">
        <v>382</v>
      </c>
      <c r="F35" s="19">
        <v>76600</v>
      </c>
      <c r="G35" s="21" t="s">
        <v>383</v>
      </c>
      <c r="H35" s="42" t="s">
        <v>384</v>
      </c>
      <c r="I35" s="43" t="s">
        <v>385</v>
      </c>
      <c r="J35" s="43" t="s">
        <v>385</v>
      </c>
      <c r="K35" s="45" t="s">
        <v>335</v>
      </c>
      <c r="L35" s="21" t="s">
        <v>336</v>
      </c>
      <c r="M35" s="19">
        <f>_xlfn.XLOOKUP(tab_JA[[#This Row],[Code]],Rencontres_N3_PN_Rx[Code_JA],Rencontres_N3_PN_Rx[prest],0,0)</f>
        <v>0</v>
      </c>
      <c r="N35" s="19" t="s">
        <v>36</v>
      </c>
      <c r="O35" s="26"/>
      <c r="P35" s="27">
        <f>SUMIF(Rencontres_N3_PN_Rx[Code_JA],tab_JA[[#This Row],[Code]],Rencontres_N3_PN_Rx[Frais_JA])</f>
        <v>0</v>
      </c>
      <c r="S35" s="30" t="str">
        <v>LEDI</v>
      </c>
      <c r="T35" s="30" t="str">
        <v>LECOQ</v>
      </c>
      <c r="U35" s="30" t="str">
        <v>Didier</v>
      </c>
      <c r="W35" s="31" t="str">
        <f>IF(X35&lt;&gt;"",_xlfn.XLOOKUP(X35,tab_JA[Code],tab_JA[N_licence],"so"),"")</f>
        <v/>
      </c>
      <c r="X35" s="32"/>
      <c r="AA35" s="33" t="s">
        <v>2552</v>
      </c>
      <c r="AB35" s="33" t="s">
        <v>2552</v>
      </c>
      <c r="AC35" s="33" t="s">
        <v>2552</v>
      </c>
      <c r="AD35" s="34" t="str">
        <f>IF(X35&lt;&gt;"",SUMIF(Rencontres_N3_PN_Rx[Code_JA],X35,Rencontres_N3_PN_Rx[Frais_JA])-SUMIF(Rencontres_N3_PN_Rx[Code_JA],X35,Rencontres_N3_PN_Rx[frais defiscalisable]),"")</f>
        <v/>
      </c>
      <c r="AE35" s="121" t="str">
        <f>IF(X35&lt;&gt;"",SUMIF(Rencontres_N3_PN_Rx[Code_JA],X35,Rencontres_N3_PN_Rx[frais defiscalisable]),"")</f>
        <v/>
      </c>
    </row>
    <row r="36" spans="1:31" ht="15" customHeight="1" x14ac:dyDescent="0.25">
      <c r="A36" s="19" t="s">
        <v>337</v>
      </c>
      <c r="B36" s="20" t="s">
        <v>338</v>
      </c>
      <c r="C36" s="21" t="s">
        <v>339</v>
      </c>
      <c r="D36" s="21" t="s">
        <v>340</v>
      </c>
      <c r="E36" s="21" t="s">
        <v>341</v>
      </c>
      <c r="F36" s="19">
        <v>14790</v>
      </c>
      <c r="G36" s="21" t="s">
        <v>342</v>
      </c>
      <c r="H36" s="42" t="s">
        <v>343</v>
      </c>
      <c r="I36" s="43"/>
      <c r="J36" s="43" t="s">
        <v>344</v>
      </c>
      <c r="K36" s="44" t="s">
        <v>345</v>
      </c>
      <c r="L36" s="21" t="s">
        <v>346</v>
      </c>
      <c r="M36" s="19">
        <f>_xlfn.XLOOKUP(tab_JA[[#This Row],[Code]],Rencontres_N3_PN_Rx[Code_JA],Rencontres_N3_PN_Rx[prest],0,0)</f>
        <v>0</v>
      </c>
      <c r="N36" s="19" t="s">
        <v>36</v>
      </c>
      <c r="O36" s="26"/>
      <c r="P36" s="27">
        <f>SUMIF(Rencontres_N3_PN_Rx[Code_JA],tab_JA[[#This Row],[Code]],Rencontres_N3_PN_Rx[Frais_JA])</f>
        <v>0</v>
      </c>
      <c r="S36" s="30" t="str">
        <v>LEDO</v>
      </c>
      <c r="T36" s="30" t="str">
        <v>LETENDRE</v>
      </c>
      <c r="U36" s="30" t="str">
        <v>Dominique</v>
      </c>
      <c r="W36" s="31" t="str">
        <f>IF(X36&lt;&gt;"",_xlfn.XLOOKUP(X36,tab_JA[Code],tab_JA[N_licence],"so"),"")</f>
        <v/>
      </c>
      <c r="X36" s="32"/>
      <c r="AA36" s="33" t="s">
        <v>2552</v>
      </c>
      <c r="AB36" s="33" t="s">
        <v>2552</v>
      </c>
      <c r="AC36" s="33" t="s">
        <v>2552</v>
      </c>
      <c r="AD36" s="34" t="str">
        <f>IF(X36&lt;&gt;"",SUMIF(Rencontres_N3_PN_Rx[Code_JA],X36,Rencontres_N3_PN_Rx[Frais_JA])-SUMIF(Rencontres_N3_PN_Rx[Code_JA],X36,Rencontres_N3_PN_Rx[frais defiscalisable]),"")</f>
        <v/>
      </c>
      <c r="AE36" s="121" t="str">
        <f>IF(X36&lt;&gt;"",SUMIF(Rencontres_N3_PN_Rx[Code_JA],X36,Rencontres_N3_PN_Rx[frais defiscalisable]),"")</f>
        <v/>
      </c>
    </row>
    <row r="37" spans="1:31" ht="15" customHeight="1" x14ac:dyDescent="0.25">
      <c r="A37" s="19" t="s">
        <v>326</v>
      </c>
      <c r="B37" s="20" t="s">
        <v>327</v>
      </c>
      <c r="C37" s="21" t="s">
        <v>328</v>
      </c>
      <c r="D37" s="21" t="s">
        <v>329</v>
      </c>
      <c r="E37" s="21" t="s">
        <v>330</v>
      </c>
      <c r="F37" s="19">
        <v>76190</v>
      </c>
      <c r="G37" s="21" t="s">
        <v>331</v>
      </c>
      <c r="H37" s="42" t="s">
        <v>332</v>
      </c>
      <c r="I37" s="43" t="s">
        <v>333</v>
      </c>
      <c r="J37" s="43" t="s">
        <v>334</v>
      </c>
      <c r="K37" s="44" t="s">
        <v>335</v>
      </c>
      <c r="L37" s="21" t="s">
        <v>336</v>
      </c>
      <c r="M37" s="19">
        <f>_xlfn.XLOOKUP(tab_JA[[#This Row],[Code]],Rencontres_N3_PN_Rx[Code_JA],Rencontres_N3_PN_Rx[prest],0,0)</f>
        <v>0</v>
      </c>
      <c r="N37" s="19" t="s">
        <v>36</v>
      </c>
      <c r="O37" s="26"/>
      <c r="P37" s="27">
        <f>SUMIF(Rencontres_N3_PN_Rx[Code_JA],tab_JA[[#This Row],[Code]],Rencontres_N3_PN_Rx[Frais_JA])</f>
        <v>0</v>
      </c>
      <c r="S37" s="30" t="str">
        <v>LEJM</v>
      </c>
      <c r="T37" s="30" t="str">
        <v>LEPETIT</v>
      </c>
      <c r="U37" s="30" t="str">
        <v>Jean-Marc</v>
      </c>
      <c r="W37" s="31" t="str">
        <f>IF(X37&lt;&gt;"",_xlfn.XLOOKUP(X37,tab_JA[Code],tab_JA[N_licence],"so"),"")</f>
        <v/>
      </c>
      <c r="X37" s="32"/>
      <c r="AA37" s="33" t="s">
        <v>2552</v>
      </c>
      <c r="AB37" s="33" t="s">
        <v>2552</v>
      </c>
      <c r="AC37" s="33" t="s">
        <v>2552</v>
      </c>
      <c r="AD37" s="34" t="str">
        <f>IF(X37&lt;&gt;"",SUMIF(Rencontres_N3_PN_Rx[Code_JA],X37,Rencontres_N3_PN_Rx[Frais_JA])-SUMIF(Rencontres_N3_PN_Rx[Code_JA],X37,Rencontres_N3_PN_Rx[frais defiscalisable]),"")</f>
        <v/>
      </c>
      <c r="AE37" s="121" t="str">
        <f>IF(X37&lt;&gt;"",SUMIF(Rencontres_N3_PN_Rx[Code_JA],X37,Rencontres_N3_PN_Rx[frais defiscalisable]),"")</f>
        <v/>
      </c>
    </row>
    <row r="38" spans="1:31" ht="15" customHeight="1" x14ac:dyDescent="0.25">
      <c r="A38" s="19" t="s">
        <v>347</v>
      </c>
      <c r="B38" s="20" t="s">
        <v>348</v>
      </c>
      <c r="C38" s="21" t="s">
        <v>349</v>
      </c>
      <c r="D38" s="21" t="s">
        <v>350</v>
      </c>
      <c r="E38" s="21" t="s">
        <v>351</v>
      </c>
      <c r="F38" s="19">
        <v>61100</v>
      </c>
      <c r="G38" s="21" t="s">
        <v>352</v>
      </c>
      <c r="H38" s="42" t="s">
        <v>353</v>
      </c>
      <c r="I38" s="43" t="s">
        <v>354</v>
      </c>
      <c r="J38" s="43" t="s">
        <v>355</v>
      </c>
      <c r="K38" s="44" t="s">
        <v>356</v>
      </c>
      <c r="L38" s="21" t="s">
        <v>357</v>
      </c>
      <c r="M38" s="19">
        <f>_xlfn.XLOOKUP(tab_JA[[#This Row],[Code]],Rencontres_N3_PN_Rx[Code_JA],Rencontres_N3_PN_Rx[prest],0,0)</f>
        <v>0</v>
      </c>
      <c r="N38" s="19" t="s">
        <v>36</v>
      </c>
      <c r="O38" s="26"/>
      <c r="P38" s="27">
        <f>SUMIF(Rencontres_N3_PN_Rx[Code_JA],tab_JA[[#This Row],[Code]],Rencontres_N3_PN_Rx[Frais_JA])</f>
        <v>0</v>
      </c>
      <c r="S38" s="30" t="str">
        <v>LEJP</v>
      </c>
      <c r="T38" s="30" t="str">
        <v>LEGOUBEY</v>
      </c>
      <c r="U38" s="30" t="str">
        <v>Jean Pierre</v>
      </c>
      <c r="W38" s="31" t="str">
        <f>IF(X38&lt;&gt;"",_xlfn.XLOOKUP(X38,tab_JA[Code],tab_JA[N_licence],"so"),"")</f>
        <v/>
      </c>
      <c r="X38" s="32"/>
      <c r="AA38" s="33" t="s">
        <v>2552</v>
      </c>
      <c r="AB38" s="33" t="s">
        <v>2552</v>
      </c>
      <c r="AC38" s="33" t="s">
        <v>2552</v>
      </c>
      <c r="AD38" s="34" t="str">
        <f>IF(X38&lt;&gt;"",SUMIF(Rencontres_N3_PN_Rx[Code_JA],X38,Rencontres_N3_PN_Rx[Frais_JA])-SUMIF(Rencontres_N3_PN_Rx[Code_JA],X38,Rencontres_N3_PN_Rx[frais defiscalisable]),"")</f>
        <v/>
      </c>
      <c r="AE38" s="121" t="str">
        <f>IF(X38&lt;&gt;"",SUMIF(Rencontres_N3_PN_Rx[Code_JA],X38,Rencontres_N3_PN_Rx[frais defiscalisable]),"")</f>
        <v/>
      </c>
    </row>
    <row r="39" spans="1:31" ht="15" customHeight="1" x14ac:dyDescent="0.25">
      <c r="A39" s="19" t="s">
        <v>386</v>
      </c>
      <c r="B39" s="20" t="s">
        <v>387</v>
      </c>
      <c r="C39" s="21" t="s">
        <v>388</v>
      </c>
      <c r="D39" s="21" t="s">
        <v>389</v>
      </c>
      <c r="E39" s="21" t="s">
        <v>390</v>
      </c>
      <c r="F39" s="19">
        <v>76320</v>
      </c>
      <c r="G39" s="21" t="s">
        <v>391</v>
      </c>
      <c r="H39" s="42" t="s">
        <v>392</v>
      </c>
      <c r="I39" s="43"/>
      <c r="J39" s="43" t="s">
        <v>393</v>
      </c>
      <c r="K39" s="44" t="s">
        <v>394</v>
      </c>
      <c r="L39" s="21" t="s">
        <v>395</v>
      </c>
      <c r="M39" s="19">
        <f>_xlfn.XLOOKUP(tab_JA[[#This Row],[Code]],Rencontres_N3_PN_Rx[Code_JA],Rencontres_N3_PN_Rx[prest],0,0)</f>
        <v>0</v>
      </c>
      <c r="N39" s="19" t="s">
        <v>36</v>
      </c>
      <c r="O39" s="26"/>
      <c r="P39" s="27">
        <f>SUMIF(Rencontres_N3_PN_Rx[Code_JA],tab_JA[[#This Row],[Code]],Rencontres_N3_PN_Rx[Frais_JA])</f>
        <v>0</v>
      </c>
      <c r="S39" s="30" t="str">
        <v>LELA</v>
      </c>
      <c r="T39" s="30" t="str">
        <v>LECLERC</v>
      </c>
      <c r="U39" s="30" t="str">
        <v>Laurent</v>
      </c>
      <c r="W39" s="31" t="str">
        <f>IF(X39&lt;&gt;"",_xlfn.XLOOKUP(X39,tab_JA[Code],tab_JA[N_licence],"so"),"")</f>
        <v/>
      </c>
      <c r="X39" s="32"/>
      <c r="AA39" s="33" t="s">
        <v>2552</v>
      </c>
      <c r="AB39" s="33" t="s">
        <v>2552</v>
      </c>
      <c r="AC39" s="33" t="s">
        <v>2552</v>
      </c>
      <c r="AD39" s="34" t="str">
        <f>IF(X39&lt;&gt;"",SUMIF(Rencontres_N3_PN_Rx[Code_JA],X39,Rencontres_N3_PN_Rx[Frais_JA])-SUMIF(Rencontres_N3_PN_Rx[Code_JA],X39,Rencontres_N3_PN_Rx[frais defiscalisable]),"")</f>
        <v/>
      </c>
      <c r="AE39" s="121" t="str">
        <f>IF(X39&lt;&gt;"",SUMIF(Rencontres_N3_PN_Rx[Code_JA],X39,Rencontres_N3_PN_Rx[frais defiscalisable]),"")</f>
        <v/>
      </c>
    </row>
    <row r="40" spans="1:31" ht="15" customHeight="1" x14ac:dyDescent="0.25">
      <c r="A40" s="19" t="s">
        <v>406</v>
      </c>
      <c r="B40" s="20" t="s">
        <v>407</v>
      </c>
      <c r="C40" s="21" t="s">
        <v>408</v>
      </c>
      <c r="D40" s="21" t="s">
        <v>409</v>
      </c>
      <c r="E40" s="21" t="s">
        <v>410</v>
      </c>
      <c r="F40" s="19">
        <v>76100</v>
      </c>
      <c r="G40" s="21" t="s">
        <v>411</v>
      </c>
      <c r="H40" s="42" t="s">
        <v>412</v>
      </c>
      <c r="I40" s="43"/>
      <c r="J40" s="43" t="s">
        <v>413</v>
      </c>
      <c r="K40" s="44" t="s">
        <v>414</v>
      </c>
      <c r="L40" s="21" t="s">
        <v>415</v>
      </c>
      <c r="M40" s="19">
        <f>_xlfn.XLOOKUP(tab_JA[[#This Row],[Code]],Rencontres_N3_PN_Rx[Code_JA],Rencontres_N3_PN_Rx[prest],0,0)</f>
        <v>0</v>
      </c>
      <c r="N40" s="19" t="s">
        <v>36</v>
      </c>
      <c r="O40" s="26"/>
      <c r="P40" s="27">
        <f>SUMIF(Rencontres_N3_PN_Rx[Code_JA],tab_JA[[#This Row],[Code]],Rencontres_N3_PN_Rx[Frais_JA])</f>
        <v>0</v>
      </c>
      <c r="S40" s="30" t="str">
        <v>LEMA</v>
      </c>
      <c r="T40" s="30" t="str">
        <v>LE ROY</v>
      </c>
      <c r="U40" s="30" t="str">
        <v>Matthieu</v>
      </c>
      <c r="W40" s="31" t="str">
        <f>IF(X40&lt;&gt;"",_xlfn.XLOOKUP(X40,tab_JA[Code],tab_JA[N_licence],"so"),"")</f>
        <v/>
      </c>
      <c r="X40" s="32"/>
      <c r="AA40" s="33" t="s">
        <v>2552</v>
      </c>
      <c r="AB40" s="33" t="s">
        <v>2552</v>
      </c>
      <c r="AC40" s="33" t="s">
        <v>2552</v>
      </c>
      <c r="AD40" s="34" t="str">
        <f>IF(X40&lt;&gt;"",SUMIF(Rencontres_N3_PN_Rx[Code_JA],X40,Rencontres_N3_PN_Rx[Frais_JA])-SUMIF(Rencontres_N3_PN_Rx[Code_JA],X40,Rencontres_N3_PN_Rx[frais defiscalisable]),"")</f>
        <v/>
      </c>
      <c r="AE40" s="121" t="str">
        <f>IF(X40&lt;&gt;"",SUMIF(Rencontres_N3_PN_Rx[Code_JA],X40,Rencontres_N3_PN_Rx[frais defiscalisable]),"")</f>
        <v/>
      </c>
    </row>
    <row r="41" spans="1:31" ht="15" customHeight="1" x14ac:dyDescent="0.25">
      <c r="A41" s="19" t="s">
        <v>358</v>
      </c>
      <c r="B41" s="20" t="s">
        <v>359</v>
      </c>
      <c r="C41" s="21" t="s">
        <v>360</v>
      </c>
      <c r="D41" s="21" t="s">
        <v>361</v>
      </c>
      <c r="E41" s="21" t="s">
        <v>362</v>
      </c>
      <c r="F41" s="19">
        <v>27190</v>
      </c>
      <c r="G41" s="21" t="s">
        <v>363</v>
      </c>
      <c r="H41" s="42" t="s">
        <v>364</v>
      </c>
      <c r="I41" s="43" t="s">
        <v>365</v>
      </c>
      <c r="J41" s="43" t="s">
        <v>366</v>
      </c>
      <c r="K41" s="44" t="s">
        <v>367</v>
      </c>
      <c r="L41" s="21" t="s">
        <v>368</v>
      </c>
      <c r="M41" s="19">
        <f>_xlfn.XLOOKUP(tab_JA[[#This Row],[Code]],Rencontres_N3_PN_Rx[Code_JA],Rencontres_N3_PN_Rx[prest],0,0)</f>
        <v>0</v>
      </c>
      <c r="N41" s="19" t="s">
        <v>36</v>
      </c>
      <c r="O41" s="26"/>
      <c r="P41" s="27">
        <f>SUMIF(Rencontres_N3_PN_Rx[Code_JA],tab_JA[[#This Row],[Code]],Rencontres_N3_PN_Rx[Frais_JA])</f>
        <v>0</v>
      </c>
      <c r="S41" s="30" t="str">
        <v>LENO</v>
      </c>
      <c r="T41" s="30" t="str">
        <v>LEBOURG</v>
      </c>
      <c r="U41" s="30" t="str">
        <v>Norbert</v>
      </c>
      <c r="W41" s="31" t="str">
        <f>IF(X41&lt;&gt;"",_xlfn.XLOOKUP(X41,tab_JA[Code],tab_JA[N_licence],"so"),"")</f>
        <v/>
      </c>
      <c r="X41" s="32"/>
      <c r="AA41" s="33" t="s">
        <v>2552</v>
      </c>
      <c r="AB41" s="33" t="s">
        <v>2552</v>
      </c>
      <c r="AC41" s="33" t="s">
        <v>2552</v>
      </c>
      <c r="AD41" s="34" t="str">
        <f>IF(X41&lt;&gt;"",SUMIF(Rencontres_N3_PN_Rx[Code_JA],X41,Rencontres_N3_PN_Rx[Frais_JA])-SUMIF(Rencontres_N3_PN_Rx[Code_JA],X41,Rencontres_N3_PN_Rx[frais defiscalisable]),"")</f>
        <v/>
      </c>
      <c r="AE41" s="121" t="str">
        <f>IF(X41&lt;&gt;"",SUMIF(Rencontres_N3_PN_Rx[Code_JA],X41,Rencontres_N3_PN_Rx[frais defiscalisable]),"")</f>
        <v/>
      </c>
    </row>
    <row r="42" spans="1:31" ht="15" customHeight="1" x14ac:dyDescent="0.25">
      <c r="A42" s="19" t="s">
        <v>416</v>
      </c>
      <c r="B42" s="20" t="s">
        <v>417</v>
      </c>
      <c r="C42" s="21" t="s">
        <v>418</v>
      </c>
      <c r="D42" s="21" t="s">
        <v>61</v>
      </c>
      <c r="E42" s="21" t="s">
        <v>419</v>
      </c>
      <c r="F42" s="19">
        <v>76460</v>
      </c>
      <c r="G42" s="21" t="s">
        <v>420</v>
      </c>
      <c r="H42" s="42" t="s">
        <v>421</v>
      </c>
      <c r="I42" s="43" t="s">
        <v>422</v>
      </c>
      <c r="J42" s="43"/>
      <c r="K42" s="44" t="s">
        <v>423</v>
      </c>
      <c r="L42" s="21" t="s">
        <v>424</v>
      </c>
      <c r="M42" s="19">
        <f>_xlfn.XLOOKUP(tab_JA[[#This Row],[Code]],Rencontres_N3_PN_Rx[Code_JA],Rencontres_N3_PN_Rx[prest],0,0)</f>
        <v>0</v>
      </c>
      <c r="N42" s="19" t="s">
        <v>36</v>
      </c>
      <c r="O42" s="26"/>
      <c r="P42" s="27">
        <f>SUMIF(Rencontres_N3_PN_Rx[Code_JA],tab_JA[[#This Row],[Code]],Rencontres_N3_PN_Rx[Frais_JA])</f>
        <v>0</v>
      </c>
      <c r="S42" s="30" t="str">
        <v>LEPH</v>
      </c>
      <c r="T42" s="30" t="str">
        <v>LEMPERIERE</v>
      </c>
      <c r="U42" s="30" t="str">
        <v>Philippe</v>
      </c>
      <c r="W42" s="31" t="str">
        <f>IF(X42&lt;&gt;"",_xlfn.XLOOKUP(X42,tab_JA[Code],tab_JA[N_licence],"so"),"")</f>
        <v/>
      </c>
      <c r="X42" s="32"/>
      <c r="AA42" s="33" t="s">
        <v>2552</v>
      </c>
      <c r="AB42" s="33" t="s">
        <v>2552</v>
      </c>
      <c r="AC42" s="33" t="s">
        <v>2552</v>
      </c>
      <c r="AD42" s="34" t="str">
        <f>IF(X42&lt;&gt;"",SUMIF(Rencontres_N3_PN_Rx[Code_JA],X42,Rencontres_N3_PN_Rx[Frais_JA])-SUMIF(Rencontres_N3_PN_Rx[Code_JA],X42,Rencontres_N3_PN_Rx[frais defiscalisable]),"")</f>
        <v/>
      </c>
      <c r="AE42" s="121" t="str">
        <f>IF(X42&lt;&gt;"",SUMIF(Rencontres_N3_PN_Rx[Code_JA],X42,Rencontres_N3_PN_Rx[frais defiscalisable]),"")</f>
        <v/>
      </c>
    </row>
    <row r="43" spans="1:31" ht="15" customHeight="1" x14ac:dyDescent="0.25">
      <c r="A43" s="19" t="s">
        <v>425</v>
      </c>
      <c r="B43" s="20" t="s">
        <v>426</v>
      </c>
      <c r="C43" s="21" t="s">
        <v>427</v>
      </c>
      <c r="D43" s="21" t="s">
        <v>428</v>
      </c>
      <c r="E43" s="21" t="s">
        <v>429</v>
      </c>
      <c r="F43" s="19">
        <v>61400</v>
      </c>
      <c r="G43" s="21" t="s">
        <v>430</v>
      </c>
      <c r="H43" s="42" t="s">
        <v>431</v>
      </c>
      <c r="I43" s="43"/>
      <c r="J43" s="43" t="s">
        <v>432</v>
      </c>
      <c r="K43" s="44" t="s">
        <v>433</v>
      </c>
      <c r="L43" s="21" t="s">
        <v>434</v>
      </c>
      <c r="M43" s="19">
        <f>_xlfn.XLOOKUP(tab_JA[[#This Row],[Code]],Rencontres_N3_PN_Rx[Code_JA],Rencontres_N3_PN_Rx[prest],0,0)</f>
        <v>0</v>
      </c>
      <c r="N43" s="19" t="s">
        <v>36</v>
      </c>
      <c r="O43" s="26"/>
      <c r="P43" s="27">
        <f>SUMIF(Rencontres_N3_PN_Rx[Code_JA],tab_JA[[#This Row],[Code]],Rencontres_N3_PN_Rx[Frais_JA])</f>
        <v>0</v>
      </c>
      <c r="S43" s="30" t="str">
        <v>LEPLA</v>
      </c>
      <c r="T43" s="30" t="str">
        <v>LEPILLIEZ</v>
      </c>
      <c r="U43" s="30" t="str">
        <v>Laurent</v>
      </c>
      <c r="W43" s="31" t="str">
        <f>IF(X43&lt;&gt;"",_xlfn.XLOOKUP(X43,tab_JA[Code],tab_JA[N_licence],"so"),"")</f>
        <v/>
      </c>
      <c r="X43" s="32"/>
      <c r="AA43" s="33" t="s">
        <v>2552</v>
      </c>
      <c r="AB43" s="33" t="s">
        <v>2552</v>
      </c>
      <c r="AC43" s="33" t="s">
        <v>2552</v>
      </c>
      <c r="AD43" s="34" t="str">
        <f>IF(X43&lt;&gt;"",SUMIF(Rencontres_N3_PN_Rx[Code_JA],X43,Rencontres_N3_PN_Rx[Frais_JA])-SUMIF(Rencontres_N3_PN_Rx[Code_JA],X43,Rencontres_N3_PN_Rx[frais defiscalisable]),"")</f>
        <v/>
      </c>
      <c r="AE43" s="121" t="str">
        <f>IF(X43&lt;&gt;"",SUMIF(Rencontres_N3_PN_Rx[Code_JA],X43,Rencontres_N3_PN_Rx[frais defiscalisable]),"")</f>
        <v/>
      </c>
    </row>
    <row r="44" spans="1:31" ht="15" customHeight="1" x14ac:dyDescent="0.25">
      <c r="A44" s="19" t="s">
        <v>435</v>
      </c>
      <c r="B44" s="20" t="s">
        <v>436</v>
      </c>
      <c r="C44" s="21" t="s">
        <v>437</v>
      </c>
      <c r="D44" s="21" t="s">
        <v>438</v>
      </c>
      <c r="E44" s="21" t="s">
        <v>439</v>
      </c>
      <c r="F44" s="19">
        <v>14111</v>
      </c>
      <c r="G44" s="21" t="s">
        <v>440</v>
      </c>
      <c r="H44" s="42" t="s">
        <v>441</v>
      </c>
      <c r="I44" s="43" t="s">
        <v>442</v>
      </c>
      <c r="J44" s="43" t="s">
        <v>443</v>
      </c>
      <c r="K44" s="44" t="s">
        <v>56</v>
      </c>
      <c r="L44" s="21" t="s">
        <v>57</v>
      </c>
      <c r="M44" s="19">
        <f>_xlfn.XLOOKUP(tab_JA[[#This Row],[Code]],Rencontres_N3_PN_Rx[Code_JA],Rencontres_N3_PN_Rx[prest],0,0)</f>
        <v>0</v>
      </c>
      <c r="N44" s="19" t="s">
        <v>36</v>
      </c>
      <c r="O44" s="26"/>
      <c r="P44" s="27">
        <f>SUMIF(Rencontres_N3_PN_Rx[Code_JA],tab_JA[[#This Row],[Code]],Rencontres_N3_PN_Rx[Frais_JA])</f>
        <v>0</v>
      </c>
      <c r="S44" s="30" t="str">
        <v>LEPPA</v>
      </c>
      <c r="T44" s="30" t="str">
        <v>LEPROVOST</v>
      </c>
      <c r="U44" s="30" t="str">
        <v>Patrick</v>
      </c>
      <c r="W44" s="31" t="str">
        <f>IF(X44&lt;&gt;"",_xlfn.XLOOKUP(X44,tab_JA[Code],tab_JA[N_licence],"so"),"")</f>
        <v/>
      </c>
      <c r="X44" s="32"/>
      <c r="AA44" s="33" t="s">
        <v>2552</v>
      </c>
      <c r="AB44" s="33" t="s">
        <v>2552</v>
      </c>
      <c r="AC44" s="33" t="s">
        <v>2552</v>
      </c>
      <c r="AD44" s="34" t="str">
        <f>IF(X44&lt;&gt;"",SUMIF(Rencontres_N3_PN_Rx[Code_JA],X44,Rencontres_N3_PN_Rx[Frais_JA])-SUMIF(Rencontres_N3_PN_Rx[Code_JA],X44,Rencontres_N3_PN_Rx[frais defiscalisable]),"")</f>
        <v/>
      </c>
      <c r="AE44" s="121" t="str">
        <f>IF(X44&lt;&gt;"",SUMIF(Rencontres_N3_PN_Rx[Code_JA],X44,Rencontres_N3_PN_Rx[frais defiscalisable]),"")</f>
        <v/>
      </c>
    </row>
    <row r="45" spans="1:31" ht="15" customHeight="1" x14ac:dyDescent="0.25">
      <c r="A45" s="19" t="s">
        <v>452</v>
      </c>
      <c r="B45" s="20" t="s">
        <v>453</v>
      </c>
      <c r="C45" s="21" t="s">
        <v>454</v>
      </c>
      <c r="D45" s="21" t="s">
        <v>455</v>
      </c>
      <c r="E45" s="21" t="s">
        <v>456</v>
      </c>
      <c r="F45" s="19">
        <v>50320</v>
      </c>
      <c r="G45" s="21" t="s">
        <v>457</v>
      </c>
      <c r="H45" s="42" t="s">
        <v>458</v>
      </c>
      <c r="I45" s="43" t="s">
        <v>459</v>
      </c>
      <c r="J45" s="43" t="s">
        <v>459</v>
      </c>
      <c r="K45" s="44" t="s">
        <v>189</v>
      </c>
      <c r="L45" s="21" t="s">
        <v>190</v>
      </c>
      <c r="M45" s="19">
        <f>_xlfn.XLOOKUP(tab_JA[[#This Row],[Code]],Rencontres_N3_PN_Rx[Code_JA],Rencontres_N3_PN_Rx[prest],0,0)</f>
        <v>0</v>
      </c>
      <c r="N45" s="19" t="s">
        <v>36</v>
      </c>
      <c r="O45" s="26"/>
      <c r="P45" s="27">
        <f>SUMIF(Rencontres_N3_PN_Rx[Code_JA],tab_JA[[#This Row],[Code]],Rencontres_N3_PN_Rx[Frais_JA])</f>
        <v>0</v>
      </c>
      <c r="S45" s="30" t="str">
        <v>LEXA</v>
      </c>
      <c r="T45" s="30" t="str">
        <v>LEDOS</v>
      </c>
      <c r="U45" s="30" t="str">
        <v>Xavier</v>
      </c>
      <c r="W45" s="31" t="str">
        <f>IF(X45&lt;&gt;"",_xlfn.XLOOKUP(X45,tab_JA[Code],tab_JA[N_licence],"so"),"")</f>
        <v/>
      </c>
      <c r="X45" s="32"/>
      <c r="AA45" s="33" t="s">
        <v>2552</v>
      </c>
      <c r="AB45" s="33" t="s">
        <v>2552</v>
      </c>
      <c r="AC45" s="33" t="s">
        <v>2552</v>
      </c>
      <c r="AD45" s="34" t="str">
        <f>IF(X45&lt;&gt;"",SUMIF(Rencontres_N3_PN_Rx[Code_JA],X45,Rencontres_N3_PN_Rx[Frais_JA])-SUMIF(Rencontres_N3_PN_Rx[Code_JA],X45,Rencontres_N3_PN_Rx[frais defiscalisable]),"")</f>
        <v/>
      </c>
      <c r="AE45" s="121" t="str">
        <f>IF(X45&lt;&gt;"",SUMIF(Rencontres_N3_PN_Rx[Code_JA],X45,Rencontres_N3_PN_Rx[frais defiscalisable]),"")</f>
        <v/>
      </c>
    </row>
    <row r="46" spans="1:31" ht="15" customHeight="1" x14ac:dyDescent="0.25">
      <c r="A46" s="19" t="s">
        <v>460</v>
      </c>
      <c r="B46" s="20" t="s">
        <v>461</v>
      </c>
      <c r="C46" s="21" t="s">
        <v>462</v>
      </c>
      <c r="D46" s="21" t="s">
        <v>463</v>
      </c>
      <c r="E46" s="21" t="s">
        <v>464</v>
      </c>
      <c r="F46" s="19">
        <v>14370</v>
      </c>
      <c r="G46" s="21" t="s">
        <v>465</v>
      </c>
      <c r="H46" s="42" t="s">
        <v>466</v>
      </c>
      <c r="I46" s="43" t="s">
        <v>467</v>
      </c>
      <c r="J46" s="43" t="s">
        <v>468</v>
      </c>
      <c r="K46" s="44" t="s">
        <v>56</v>
      </c>
      <c r="L46" s="21" t="s">
        <v>57</v>
      </c>
      <c r="M46" s="19">
        <f>_xlfn.XLOOKUP(tab_JA[[#This Row],[Code]],Rencontres_N3_PN_Rx[Code_JA],Rencontres_N3_PN_Rx[prest],0,0)</f>
        <v>0</v>
      </c>
      <c r="N46" s="19" t="s">
        <v>36</v>
      </c>
      <c r="O46" s="26"/>
      <c r="P46" s="27">
        <f>SUMIF(Rencontres_N3_PN_Rx[Code_JA],tab_JA[[#This Row],[Code]],Rencontres_N3_PN_Rx[Frais_JA])</f>
        <v>0</v>
      </c>
      <c r="S46" s="30" t="str">
        <v>LEYA</v>
      </c>
      <c r="T46" s="30" t="str">
        <v>LEMETAIS</v>
      </c>
      <c r="U46" s="30" t="str">
        <v>Yannick</v>
      </c>
      <c r="W46" s="31" t="str">
        <f>IF(X46&lt;&gt;"",_xlfn.XLOOKUP(X46,tab_JA[Code],tab_JA[N_licence],"so"),"")</f>
        <v/>
      </c>
      <c r="X46" s="32"/>
      <c r="AA46" s="33" t="s">
        <v>2552</v>
      </c>
      <c r="AB46" s="33" t="s">
        <v>2552</v>
      </c>
      <c r="AC46" s="33" t="s">
        <v>2552</v>
      </c>
      <c r="AD46" s="34" t="str">
        <f>IF(X46&lt;&gt;"",SUMIF(Rencontres_N3_PN_Rx[Code_JA],X46,Rencontres_N3_PN_Rx[Frais_JA])-SUMIF(Rencontres_N3_PN_Rx[Code_JA],X46,Rencontres_N3_PN_Rx[frais defiscalisable]),"")</f>
        <v/>
      </c>
      <c r="AE46" s="121" t="str">
        <f>IF(X46&lt;&gt;"",SUMIF(Rencontres_N3_PN_Rx[Code_JA],X46,Rencontres_N3_PN_Rx[frais defiscalisable]),"")</f>
        <v/>
      </c>
    </row>
    <row r="47" spans="1:31" ht="15" customHeight="1" x14ac:dyDescent="0.25">
      <c r="A47" s="19" t="s">
        <v>487</v>
      </c>
      <c r="B47" s="20" t="s">
        <v>488</v>
      </c>
      <c r="C47" s="21" t="s">
        <v>489</v>
      </c>
      <c r="D47" s="21" t="s">
        <v>310</v>
      </c>
      <c r="E47" s="21" t="s">
        <v>490</v>
      </c>
      <c r="F47" s="19">
        <v>76119</v>
      </c>
      <c r="G47" s="21" t="s">
        <v>491</v>
      </c>
      <c r="H47" s="42" t="s">
        <v>492</v>
      </c>
      <c r="I47" s="43" t="s">
        <v>493</v>
      </c>
      <c r="J47" s="43" t="s">
        <v>494</v>
      </c>
      <c r="K47" s="44" t="s">
        <v>495</v>
      </c>
      <c r="L47" s="21" t="s">
        <v>496</v>
      </c>
      <c r="M47" s="19">
        <f>_xlfn.XLOOKUP(tab_JA[[#This Row],[Code]],Rencontres_N3_PN_Rx[Code_JA],Rencontres_N3_PN_Rx[prest],0,0)</f>
        <v>0</v>
      </c>
      <c r="N47" s="19" t="s">
        <v>36</v>
      </c>
      <c r="O47" s="26"/>
      <c r="P47" s="27">
        <f>SUMIF(Rencontres_N3_PN_Rx[Code_JA],tab_JA[[#This Row],[Code]],Rencontres_N3_PN_Rx[Frais_JA])</f>
        <v>0</v>
      </c>
      <c r="S47" s="30" t="str">
        <v>LPDA</v>
      </c>
      <c r="T47" s="30" t="str">
        <v>LE PAPE</v>
      </c>
      <c r="U47" s="30" t="str">
        <v>David</v>
      </c>
      <c r="W47" s="31" t="str">
        <f>IF(X47&lt;&gt;"",_xlfn.XLOOKUP(X47,tab_JA[Code],tab_JA[N_licence],"so"),"")</f>
        <v/>
      </c>
      <c r="X47" s="32"/>
      <c r="AA47" s="33" t="s">
        <v>2552</v>
      </c>
      <c r="AB47" s="33" t="s">
        <v>2552</v>
      </c>
      <c r="AC47" s="33" t="s">
        <v>2552</v>
      </c>
      <c r="AD47" s="34" t="str">
        <f>IF(X47&lt;&gt;"",SUMIF(Rencontres_N3_PN_Rx[Code_JA],X47,Rencontres_N3_PN_Rx[Frais_JA])-SUMIF(Rencontres_N3_PN_Rx[Code_JA],X47,Rencontres_N3_PN_Rx[frais defiscalisable]),"")</f>
        <v/>
      </c>
      <c r="AE47" s="121" t="str">
        <f>IF(X47&lt;&gt;"",SUMIF(Rencontres_N3_PN_Rx[Code_JA],X47,Rencontres_N3_PN_Rx[frais defiscalisable]),"")</f>
        <v/>
      </c>
    </row>
    <row r="48" spans="1:31" ht="15" customHeight="1" x14ac:dyDescent="0.25">
      <c r="A48" s="19" t="s">
        <v>444</v>
      </c>
      <c r="B48" s="20" t="s">
        <v>445</v>
      </c>
      <c r="C48" s="21" t="s">
        <v>446</v>
      </c>
      <c r="D48" s="21" t="s">
        <v>261</v>
      </c>
      <c r="E48" s="21" t="s">
        <v>447</v>
      </c>
      <c r="F48" s="19">
        <v>76600</v>
      </c>
      <c r="G48" s="21" t="s">
        <v>383</v>
      </c>
      <c r="H48" s="42" t="s">
        <v>448</v>
      </c>
      <c r="I48" s="43" t="s">
        <v>449</v>
      </c>
      <c r="J48" s="43" t="s">
        <v>449</v>
      </c>
      <c r="K48" s="44" t="s">
        <v>450</v>
      </c>
      <c r="L48" s="21" t="s">
        <v>451</v>
      </c>
      <c r="M48" s="19">
        <f>_xlfn.XLOOKUP(tab_JA[[#This Row],[Code]],Rencontres_N3_PN_Rx[Code_JA],Rencontres_N3_PN_Rx[prest],0,0)</f>
        <v>0</v>
      </c>
      <c r="N48" s="19" t="s">
        <v>36</v>
      </c>
      <c r="O48" s="26"/>
      <c r="P48" s="27">
        <f>SUMIF(Rencontres_N3_PN_Rx[Code_JA],tab_JA[[#This Row],[Code]],Rencontres_N3_PN_Rx[Frais_JA])</f>
        <v>0</v>
      </c>
      <c r="S48" s="30" t="str">
        <v>LUST</v>
      </c>
      <c r="T48" s="30" t="str">
        <v>LUCAS</v>
      </c>
      <c r="U48" s="30" t="str">
        <v>Stephanie</v>
      </c>
      <c r="W48" s="31" t="str">
        <f>IF(X48&lt;&gt;"",_xlfn.XLOOKUP(X48,tab_JA[Code],tab_JA[N_licence],"so"),"")</f>
        <v/>
      </c>
      <c r="X48" s="32"/>
      <c r="AA48" s="33" t="s">
        <v>2552</v>
      </c>
      <c r="AB48" s="33" t="s">
        <v>2552</v>
      </c>
      <c r="AC48" s="33" t="s">
        <v>2552</v>
      </c>
      <c r="AD48" s="34" t="str">
        <f>IF(X48&lt;&gt;"",SUMIF(Rencontres_N3_PN_Rx[Code_JA],X48,Rencontres_N3_PN_Rx[Frais_JA])-SUMIF(Rencontres_N3_PN_Rx[Code_JA],X48,Rencontres_N3_PN_Rx[frais defiscalisable]),"")</f>
        <v/>
      </c>
      <c r="AE48" s="121" t="str">
        <f>IF(X48&lt;&gt;"",SUMIF(Rencontres_N3_PN_Rx[Code_JA],X48,Rencontres_N3_PN_Rx[frais defiscalisable]),"")</f>
        <v/>
      </c>
    </row>
    <row r="49" spans="1:31" ht="15" customHeight="1" x14ac:dyDescent="0.25">
      <c r="A49" s="19" t="s">
        <v>480</v>
      </c>
      <c r="B49" s="20" t="s">
        <v>481</v>
      </c>
      <c r="C49" s="21" t="s">
        <v>482</v>
      </c>
      <c r="D49" s="21" t="s">
        <v>483</v>
      </c>
      <c r="E49" s="21" t="s">
        <v>484</v>
      </c>
      <c r="F49" s="19">
        <v>76320</v>
      </c>
      <c r="G49" s="21" t="s">
        <v>485</v>
      </c>
      <c r="H49" s="42" t="s">
        <v>486</v>
      </c>
      <c r="I49" s="43"/>
      <c r="J49" s="43"/>
      <c r="K49" s="44" t="s">
        <v>394</v>
      </c>
      <c r="L49" s="21" t="s">
        <v>395</v>
      </c>
      <c r="M49" s="19">
        <f>_xlfn.XLOOKUP(tab_JA[[#This Row],[Code]],Rencontres_N3_PN_Rx[Code_JA],Rencontres_N3_PN_Rx[prest],0,0)</f>
        <v>0</v>
      </c>
      <c r="N49" s="19" t="s">
        <v>36</v>
      </c>
      <c r="O49" s="26"/>
      <c r="P49" s="27">
        <f>SUMIF(Rencontres_N3_PN_Rx[Code_JA],tab_JA[[#This Row],[Code]],Rencontres_N3_PN_Rx[Frais_JA])</f>
        <v>0</v>
      </c>
      <c r="S49" s="30" t="str">
        <v>MAJE</v>
      </c>
      <c r="T49" s="30" t="str">
        <v>MARIE</v>
      </c>
      <c r="U49" s="30" t="str">
        <v>Jerome</v>
      </c>
      <c r="W49" s="31" t="str">
        <f>IF(X49&lt;&gt;"",_xlfn.XLOOKUP(X49,tab_JA[Code],tab_JA[N_licence],"so"),"")</f>
        <v/>
      </c>
      <c r="X49" s="32"/>
      <c r="AA49" s="33" t="s">
        <v>2552</v>
      </c>
      <c r="AB49" s="33" t="s">
        <v>2552</v>
      </c>
      <c r="AC49" s="33" t="s">
        <v>2552</v>
      </c>
      <c r="AD49" s="34" t="str">
        <f>IF(X49&lt;&gt;"",SUMIF(Rencontres_N3_PN_Rx[Code_JA],X49,Rencontres_N3_PN_Rx[Frais_JA])-SUMIF(Rencontres_N3_PN_Rx[Code_JA],X49,Rencontres_N3_PN_Rx[frais defiscalisable]),"")</f>
        <v/>
      </c>
      <c r="AE49" s="121" t="str">
        <f>IF(X49&lt;&gt;"",SUMIF(Rencontres_N3_PN_Rx[Code_JA],X49,Rencontres_N3_PN_Rx[frais defiscalisable]),"")</f>
        <v/>
      </c>
    </row>
    <row r="50" spans="1:31" ht="15" customHeight="1" x14ac:dyDescent="0.25">
      <c r="A50" s="19" t="s">
        <v>469</v>
      </c>
      <c r="B50" s="20" t="s">
        <v>470</v>
      </c>
      <c r="C50" s="21" t="s">
        <v>471</v>
      </c>
      <c r="D50" s="21" t="s">
        <v>472</v>
      </c>
      <c r="E50" s="21" t="s">
        <v>473</v>
      </c>
      <c r="F50" s="19">
        <v>50240</v>
      </c>
      <c r="G50" s="21" t="s">
        <v>474</v>
      </c>
      <c r="H50" s="42" t="s">
        <v>475</v>
      </c>
      <c r="I50" s="43" t="s">
        <v>476</v>
      </c>
      <c r="J50" s="43" t="s">
        <v>477</v>
      </c>
      <c r="K50" s="44" t="s">
        <v>478</v>
      </c>
      <c r="L50" s="21" t="s">
        <v>479</v>
      </c>
      <c r="M50" s="19">
        <f>_xlfn.XLOOKUP(tab_JA[[#This Row],[Code]],Rencontres_N3_PN_Rx[Code_JA],Rencontres_N3_PN_Rx[prest],0,0)</f>
        <v>1</v>
      </c>
      <c r="N50" s="19" t="s">
        <v>36</v>
      </c>
      <c r="O50" s="26"/>
      <c r="P50" s="27">
        <f>SUMIF(Rencontres_N3_PN_Rx[Code_JA],tab_JA[[#This Row],[Code]],Rencontres_N3_PN_Rx[Frais_JA])</f>
        <v>0</v>
      </c>
      <c r="S50" s="30" t="str">
        <v>MOCH</v>
      </c>
      <c r="T50" s="30" t="str">
        <v>MONCHOIS</v>
      </c>
      <c r="U50" s="30" t="str">
        <v>Christian</v>
      </c>
      <c r="W50" s="31" t="str">
        <f>IF(X50&lt;&gt;"",_xlfn.XLOOKUP(X50,tab_JA[Code],tab_JA[N_licence],"so"),"")</f>
        <v/>
      </c>
      <c r="X50" s="32"/>
      <c r="AA50" s="33" t="s">
        <v>2552</v>
      </c>
      <c r="AB50" s="33" t="s">
        <v>2552</v>
      </c>
      <c r="AC50" s="33" t="s">
        <v>2552</v>
      </c>
      <c r="AD50" s="34" t="str">
        <f>IF(X50&lt;&gt;"",SUMIF(Rencontres_N3_PN_Rx[Code_JA],X50,Rencontres_N3_PN_Rx[Frais_JA])-SUMIF(Rencontres_N3_PN_Rx[Code_JA],X50,Rencontres_N3_PN_Rx[frais defiscalisable]),"")</f>
        <v/>
      </c>
      <c r="AE50" s="121" t="str">
        <f>IF(X50&lt;&gt;"",SUMIF(Rencontres_N3_PN_Rx[Code_JA],X50,Rencontres_N3_PN_Rx[frais defiscalisable]),"")</f>
        <v/>
      </c>
    </row>
    <row r="51" spans="1:31" ht="15" customHeight="1" x14ac:dyDescent="0.25">
      <c r="A51" s="19" t="s">
        <v>497</v>
      </c>
      <c r="B51" s="20" t="s">
        <v>498</v>
      </c>
      <c r="C51" s="21" t="s">
        <v>499</v>
      </c>
      <c r="D51" s="21" t="s">
        <v>500</v>
      </c>
      <c r="E51" s="21" t="s">
        <v>501</v>
      </c>
      <c r="F51" s="19">
        <v>76320</v>
      </c>
      <c r="G51" s="21" t="s">
        <v>485</v>
      </c>
      <c r="H51" s="42" t="s">
        <v>502</v>
      </c>
      <c r="I51" s="43"/>
      <c r="J51" s="43" t="s">
        <v>503</v>
      </c>
      <c r="K51" s="44" t="s">
        <v>394</v>
      </c>
      <c r="L51" s="21" t="s">
        <v>395</v>
      </c>
      <c r="M51" s="19">
        <f>_xlfn.XLOOKUP(tab_JA[[#This Row],[Code]],Rencontres_N3_PN_Rx[Code_JA],Rencontres_N3_PN_Rx[prest],0,0)</f>
        <v>0</v>
      </c>
      <c r="N51" s="19" t="s">
        <v>36</v>
      </c>
      <c r="O51" s="26"/>
      <c r="P51" s="27">
        <f>SUMIF(Rencontres_N3_PN_Rx[Code_JA],tab_JA[[#This Row],[Code]],Rencontres_N3_PN_Rx[Frais_JA])</f>
        <v>0</v>
      </c>
      <c r="S51" s="30" t="str">
        <v>NALA</v>
      </c>
      <c r="T51" s="30" t="str">
        <v>NAUDIN</v>
      </c>
      <c r="U51" s="30" t="str">
        <v>Laurent</v>
      </c>
      <c r="W51" s="31" t="str">
        <f>IF(X51&lt;&gt;"",_xlfn.XLOOKUP(X51,tab_JA[Code],tab_JA[N_licence],"so"),"")</f>
        <v/>
      </c>
      <c r="X51" s="32"/>
      <c r="AA51" s="33" t="s">
        <v>2552</v>
      </c>
      <c r="AB51" s="33" t="s">
        <v>2552</v>
      </c>
      <c r="AC51" s="33" t="s">
        <v>2552</v>
      </c>
      <c r="AD51" s="34" t="str">
        <f>IF(X51&lt;&gt;"",SUMIF(Rencontres_N3_PN_Rx[Code_JA],X51,Rencontres_N3_PN_Rx[Frais_JA])-SUMIF(Rencontres_N3_PN_Rx[Code_JA],X51,Rencontres_N3_PN_Rx[frais defiscalisable]),"")</f>
        <v/>
      </c>
      <c r="AE51" s="121" t="str">
        <f>IF(X51&lt;&gt;"",SUMIF(Rencontres_N3_PN_Rx[Code_JA],X51,Rencontres_N3_PN_Rx[frais defiscalisable]),"")</f>
        <v/>
      </c>
    </row>
    <row r="52" spans="1:31" ht="15" customHeight="1" x14ac:dyDescent="0.25">
      <c r="A52" s="19" t="s">
        <v>577</v>
      </c>
      <c r="B52" s="46" t="s">
        <v>578</v>
      </c>
      <c r="C52" s="21" t="s">
        <v>579</v>
      </c>
      <c r="D52" s="21" t="s">
        <v>580</v>
      </c>
      <c r="E52" s="21" t="s">
        <v>581</v>
      </c>
      <c r="F52" s="19">
        <v>14540</v>
      </c>
      <c r="G52" s="21" t="s">
        <v>582</v>
      </c>
      <c r="H52" s="42" t="s">
        <v>583</v>
      </c>
      <c r="I52" s="43" t="s">
        <v>584</v>
      </c>
      <c r="J52" s="43" t="s">
        <v>585</v>
      </c>
      <c r="K52" s="45" t="s">
        <v>586</v>
      </c>
      <c r="L52" s="21" t="s">
        <v>587</v>
      </c>
      <c r="M52" s="19">
        <f>_xlfn.XLOOKUP(tab_JA[[#This Row],[Code]],Rencontres_N3_PN_Rx[Code_JA],Rencontres_N3_PN_Rx[prest],0,0)</f>
        <v>0</v>
      </c>
      <c r="N52" s="19" t="s">
        <v>36</v>
      </c>
      <c r="O52" s="26"/>
      <c r="P52" s="27">
        <f>SUMIF(Rencontres_N3_PN_Rx[Code_JA],tab_JA[[#This Row],[Code]],Rencontres_N3_PN_Rx[Frais_JA])</f>
        <v>0</v>
      </c>
      <c r="S52" s="30" t="str">
        <v>NELA</v>
      </c>
      <c r="T52" s="30" t="str">
        <v>NEBOUT</v>
      </c>
      <c r="U52" s="30" t="str">
        <v>Laurent</v>
      </c>
      <c r="W52" s="31" t="str">
        <f>IF(X52&lt;&gt;"",_xlfn.XLOOKUP(X52,tab_JA[Code],tab_JA[N_licence],"so"),"")</f>
        <v/>
      </c>
      <c r="X52" s="32"/>
      <c r="AA52" s="33" t="s">
        <v>2552</v>
      </c>
      <c r="AB52" s="33" t="s">
        <v>2552</v>
      </c>
      <c r="AC52" s="33" t="s">
        <v>2552</v>
      </c>
      <c r="AD52" s="34" t="str">
        <f>IF(X52&lt;&gt;"",SUMIF(Rencontres_N3_PN_Rx[Code_JA],X52,Rencontres_N3_PN_Rx[Frais_JA])-SUMIF(Rencontres_N3_PN_Rx[Code_JA],X52,Rencontres_N3_PN_Rx[frais defiscalisable]),"")</f>
        <v/>
      </c>
      <c r="AE52" s="121" t="str">
        <f>IF(X52&lt;&gt;"",SUMIF(Rencontres_N3_PN_Rx[Code_JA],X52,Rencontres_N3_PN_Rx[frais defiscalisable]),"")</f>
        <v/>
      </c>
    </row>
    <row r="53" spans="1:31" ht="15" customHeight="1" x14ac:dyDescent="0.25">
      <c r="A53" s="19" t="s">
        <v>504</v>
      </c>
      <c r="B53" s="20" t="s">
        <v>505</v>
      </c>
      <c r="C53" s="21" t="s">
        <v>506</v>
      </c>
      <c r="D53" s="21" t="s">
        <v>507</v>
      </c>
      <c r="E53" s="21" t="s">
        <v>508</v>
      </c>
      <c r="F53" s="19">
        <v>61200</v>
      </c>
      <c r="G53" s="21" t="s">
        <v>509</v>
      </c>
      <c r="H53" s="42" t="s">
        <v>510</v>
      </c>
      <c r="I53" s="43" t="s">
        <v>511</v>
      </c>
      <c r="J53" s="43" t="s">
        <v>512</v>
      </c>
      <c r="K53" s="44" t="s">
        <v>182</v>
      </c>
      <c r="L53" s="21" t="s">
        <v>183</v>
      </c>
      <c r="M53" s="19">
        <f>_xlfn.XLOOKUP(tab_JA[[#This Row],[Code]],Rencontres_N3_PN_Rx[Code_JA],Rencontres_N3_PN_Rx[prest],0,0)</f>
        <v>0</v>
      </c>
      <c r="N53" s="19" t="s">
        <v>36</v>
      </c>
      <c r="O53" s="26"/>
      <c r="P53" s="27">
        <f>SUMIF(Rencontres_N3_PN_Rx[Code_JA],tab_JA[[#This Row],[Code]],Rencontres_N3_PN_Rx[Frais_JA])</f>
        <v>0</v>
      </c>
      <c r="S53" s="30" t="str">
        <v>ORJE</v>
      </c>
      <c r="T53" s="30" t="str">
        <v>ORRIOLS</v>
      </c>
      <c r="U53" s="30" t="str">
        <v>Jean-Marc</v>
      </c>
      <c r="W53" s="31" t="str">
        <f>IF(X53&lt;&gt;"",_xlfn.XLOOKUP(X53,tab_JA[Code],tab_JA[N_licence],"so"),"")</f>
        <v/>
      </c>
      <c r="X53" s="32"/>
      <c r="AA53" s="33" t="s">
        <v>2552</v>
      </c>
      <c r="AB53" s="33" t="s">
        <v>2552</v>
      </c>
      <c r="AC53" s="33" t="s">
        <v>2552</v>
      </c>
      <c r="AD53" s="34" t="str">
        <f>IF(X53&lt;&gt;"",SUMIF(Rencontres_N3_PN_Rx[Code_JA],X53,Rencontres_N3_PN_Rx[Frais_JA])-SUMIF(Rencontres_N3_PN_Rx[Code_JA],X53,Rencontres_N3_PN_Rx[frais defiscalisable]),"")</f>
        <v/>
      </c>
      <c r="AE53" s="121" t="str">
        <f>IF(X53&lt;&gt;"",SUMIF(Rencontres_N3_PN_Rx[Code_JA],X53,Rencontres_N3_PN_Rx[frais defiscalisable]),"")</f>
        <v/>
      </c>
    </row>
    <row r="54" spans="1:31" ht="15" customHeight="1" x14ac:dyDescent="0.25">
      <c r="A54" s="19" t="s">
        <v>559</v>
      </c>
      <c r="B54" s="20" t="s">
        <v>560</v>
      </c>
      <c r="C54" s="21" t="s">
        <v>561</v>
      </c>
      <c r="D54" s="21" t="s">
        <v>562</v>
      </c>
      <c r="E54" s="21" t="s">
        <v>563</v>
      </c>
      <c r="F54" s="19">
        <v>76380</v>
      </c>
      <c r="G54" s="21" t="s">
        <v>564</v>
      </c>
      <c r="H54" s="42" t="s">
        <v>565</v>
      </c>
      <c r="I54" s="43"/>
      <c r="J54" s="43" t="s">
        <v>566</v>
      </c>
      <c r="K54" s="44" t="s">
        <v>567</v>
      </c>
      <c r="L54" s="21" t="s">
        <v>568</v>
      </c>
      <c r="M54" s="19">
        <f>_xlfn.XLOOKUP(tab_JA[[#This Row],[Code]],Rencontres_N3_PN_Rx[Code_JA],Rencontres_N3_PN_Rx[prest],0,0)</f>
        <v>0</v>
      </c>
      <c r="N54" s="19" t="s">
        <v>36</v>
      </c>
      <c r="O54" s="26"/>
      <c r="P54" s="27">
        <f>SUMIF(Rencontres_N3_PN_Rx[Code_JA],tab_JA[[#This Row],[Code]],Rencontres_N3_PN_Rx[Frais_JA])</f>
        <v>0</v>
      </c>
      <c r="S54" s="30" t="str">
        <v>ORNI</v>
      </c>
      <c r="T54" s="30" t="str">
        <v>ORRIOLS</v>
      </c>
      <c r="U54" s="30" t="str">
        <v>Nicolas</v>
      </c>
      <c r="W54" s="31" t="str">
        <f>IF(X54&lt;&gt;"",_xlfn.XLOOKUP(X54,tab_JA[Code],tab_JA[N_licence],"so"),"")</f>
        <v/>
      </c>
      <c r="X54" s="32"/>
      <c r="AA54" s="33" t="s">
        <v>2552</v>
      </c>
      <c r="AB54" s="33" t="s">
        <v>2552</v>
      </c>
      <c r="AC54" s="33" t="s">
        <v>2552</v>
      </c>
      <c r="AD54" s="34" t="str">
        <f>IF(X54&lt;&gt;"",SUMIF(Rencontres_N3_PN_Rx[Code_JA],X54,Rencontres_N3_PN_Rx[Frais_JA])-SUMIF(Rencontres_N3_PN_Rx[Code_JA],X54,Rencontres_N3_PN_Rx[frais defiscalisable]),"")</f>
        <v/>
      </c>
      <c r="AE54" s="121" t="str">
        <f>IF(X54&lt;&gt;"",SUMIF(Rencontres_N3_PN_Rx[Code_JA],X54,Rencontres_N3_PN_Rx[frais defiscalisable]),"")</f>
        <v/>
      </c>
    </row>
    <row r="55" spans="1:31" ht="15" customHeight="1" x14ac:dyDescent="0.25">
      <c r="A55" s="19" t="s">
        <v>523</v>
      </c>
      <c r="B55" s="46" t="s">
        <v>524</v>
      </c>
      <c r="C55" s="21" t="s">
        <v>525</v>
      </c>
      <c r="D55" s="21" t="s">
        <v>526</v>
      </c>
      <c r="E55" s="21" t="s">
        <v>527</v>
      </c>
      <c r="F55" s="19">
        <v>14670</v>
      </c>
      <c r="G55" s="21" t="s">
        <v>528</v>
      </c>
      <c r="H55" s="42" t="s">
        <v>529</v>
      </c>
      <c r="I55" s="43"/>
      <c r="J55" s="43" t="s">
        <v>530</v>
      </c>
      <c r="K55" s="45" t="s">
        <v>155</v>
      </c>
      <c r="L55" s="21" t="s">
        <v>156</v>
      </c>
      <c r="M55" s="19">
        <f>_xlfn.XLOOKUP(tab_JA[[#This Row],[Code]],Rencontres_N3_PN_Rx[Code_JA],Rencontres_N3_PN_Rx[prest],0,0)</f>
        <v>0</v>
      </c>
      <c r="N55" s="19" t="s">
        <v>36</v>
      </c>
      <c r="O55" s="26"/>
      <c r="P55" s="27">
        <f>SUMIF(Rencontres_N3_PN_Rx[Code_JA],tab_JA[[#This Row],[Code]],Rencontres_N3_PN_Rx[Frais_JA])</f>
        <v>0</v>
      </c>
      <c r="S55" s="30" t="str">
        <v>PEGI</v>
      </c>
      <c r="T55" s="30" t="str">
        <v>PESET</v>
      </c>
      <c r="U55" s="30" t="str">
        <v>Gilles</v>
      </c>
      <c r="W55" s="31" t="str">
        <f>IF(X55&lt;&gt;"",_xlfn.XLOOKUP(X55,tab_JA[Code],tab_JA[N_licence],"so"),"")</f>
        <v/>
      </c>
      <c r="X55" s="32"/>
      <c r="AA55" s="33" t="s">
        <v>2552</v>
      </c>
      <c r="AB55" s="33" t="s">
        <v>2552</v>
      </c>
      <c r="AC55" s="33" t="s">
        <v>2552</v>
      </c>
      <c r="AD55" s="34" t="str">
        <f>IF(X55&lt;&gt;"",SUMIF(Rencontres_N3_PN_Rx[Code_JA],X55,Rencontres_N3_PN_Rx[Frais_JA])-SUMIF(Rencontres_N3_PN_Rx[Code_JA],X55,Rencontres_N3_PN_Rx[frais defiscalisable]),"")</f>
        <v/>
      </c>
      <c r="AE55" s="121" t="str">
        <f>IF(X55&lt;&gt;"",SUMIF(Rencontres_N3_PN_Rx[Code_JA],X55,Rencontres_N3_PN_Rx[frais defiscalisable]),"")</f>
        <v/>
      </c>
    </row>
    <row r="56" spans="1:31" ht="15" customHeight="1" x14ac:dyDescent="0.25">
      <c r="A56" s="19" t="s">
        <v>3274</v>
      </c>
      <c r="B56" s="20" t="s">
        <v>569</v>
      </c>
      <c r="C56" s="21" t="s">
        <v>570</v>
      </c>
      <c r="D56" s="21" t="s">
        <v>571</v>
      </c>
      <c r="E56" s="21" t="s">
        <v>572</v>
      </c>
      <c r="F56" s="19">
        <v>50120</v>
      </c>
      <c r="G56" s="21" t="s">
        <v>573</v>
      </c>
      <c r="H56" s="42" t="s">
        <v>574</v>
      </c>
      <c r="I56" s="43" t="s">
        <v>575</v>
      </c>
      <c r="J56" s="43" t="s">
        <v>576</v>
      </c>
      <c r="K56" s="44" t="s">
        <v>294</v>
      </c>
      <c r="L56" s="21" t="s">
        <v>295</v>
      </c>
      <c r="M56" s="19">
        <f>_xlfn.XLOOKUP(tab_JA[[#This Row],[Code]],Rencontres_N3_PN_Rx[Code_JA],Rencontres_N3_PN_Rx[prest],0,0)</f>
        <v>4</v>
      </c>
      <c r="N56" s="19" t="s">
        <v>36</v>
      </c>
      <c r="O56" s="26"/>
      <c r="P56" s="27">
        <f>SUMIF(Rencontres_N3_PN_Rx[Code_JA],tab_JA[[#This Row],[Code]],Rencontres_N3_PN_Rx[Frais_JA])</f>
        <v>0</v>
      </c>
      <c r="S56" s="30" t="str">
        <v>POMA</v>
      </c>
      <c r="T56" s="30" t="str">
        <v>LEMONNIER</v>
      </c>
      <c r="U56" s="30" t="str">
        <v>Marie-Agnes</v>
      </c>
      <c r="W56" s="31" t="str">
        <f>IF(X56&lt;&gt;"",_xlfn.XLOOKUP(X56,tab_JA[Code],tab_JA[N_licence],"so"),"")</f>
        <v/>
      </c>
      <c r="X56" s="32"/>
      <c r="AA56" s="33" t="s">
        <v>2552</v>
      </c>
      <c r="AB56" s="33" t="s">
        <v>2552</v>
      </c>
      <c r="AC56" s="33" t="s">
        <v>2552</v>
      </c>
      <c r="AD56" s="34" t="str">
        <f>IF(X56&lt;&gt;"",SUMIF(Rencontres_N3_PN_Rx[Code_JA],X56,Rencontres_N3_PN_Rx[Frais_JA])-SUMIF(Rencontres_N3_PN_Rx[Code_JA],X56,Rencontres_N3_PN_Rx[frais defiscalisable]),"")</f>
        <v/>
      </c>
      <c r="AE56" s="121" t="str">
        <f>IF(X56&lt;&gt;"",SUMIF(Rencontres_N3_PN_Rx[Code_JA],X56,Rencontres_N3_PN_Rx[frais defiscalisable]),"")</f>
        <v/>
      </c>
    </row>
    <row r="57" spans="1:31" ht="15" customHeight="1" x14ac:dyDescent="0.25">
      <c r="A57" s="19" t="s">
        <v>549</v>
      </c>
      <c r="B57" s="20" t="s">
        <v>550</v>
      </c>
      <c r="C57" s="21" t="s">
        <v>551</v>
      </c>
      <c r="D57" s="21" t="s">
        <v>310</v>
      </c>
      <c r="E57" s="21" t="s">
        <v>552</v>
      </c>
      <c r="F57" s="19">
        <v>76300</v>
      </c>
      <c r="G57" s="21" t="s">
        <v>553</v>
      </c>
      <c r="H57" s="42" t="s">
        <v>554</v>
      </c>
      <c r="I57" s="43" t="s">
        <v>555</v>
      </c>
      <c r="J57" s="43" t="s">
        <v>556</v>
      </c>
      <c r="K57" s="44" t="s">
        <v>557</v>
      </c>
      <c r="L57" s="21" t="s">
        <v>558</v>
      </c>
      <c r="M57" s="19">
        <f>_xlfn.XLOOKUP(tab_JA[[#This Row],[Code]],Rencontres_N3_PN_Rx[Code_JA],Rencontres_N3_PN_Rx[prest],0,0)</f>
        <v>0</v>
      </c>
      <c r="N57" s="19" t="s">
        <v>36</v>
      </c>
      <c r="O57" s="26"/>
      <c r="P57" s="27">
        <f>SUMIF(Rencontres_N3_PN_Rx[Code_JA],tab_JA[[#This Row],[Code]],Rencontres_N3_PN_Rx[Frais_JA])</f>
        <v>0</v>
      </c>
      <c r="S57" s="30" t="str">
        <v>REPA</v>
      </c>
      <c r="T57" s="30" t="str">
        <v>RELET</v>
      </c>
      <c r="U57" s="30" t="str">
        <v>Pascal</v>
      </c>
      <c r="W57" s="31" t="str">
        <f>IF(X57&lt;&gt;"",_xlfn.XLOOKUP(X57,tab_JA[Code],tab_JA[N_licence],"so"),"")</f>
        <v/>
      </c>
      <c r="X57" s="32"/>
      <c r="AA57" s="33" t="s">
        <v>2552</v>
      </c>
      <c r="AB57" s="33" t="s">
        <v>2552</v>
      </c>
      <c r="AC57" s="33" t="s">
        <v>2552</v>
      </c>
      <c r="AD57" s="34" t="str">
        <f>IF(X57&lt;&gt;"",SUMIF(Rencontres_N3_PN_Rx[Code_JA],X57,Rencontres_N3_PN_Rx[Frais_JA])-SUMIF(Rencontres_N3_PN_Rx[Code_JA],X57,Rencontres_N3_PN_Rx[frais defiscalisable]),"")</f>
        <v/>
      </c>
      <c r="AE57" s="121" t="str">
        <f>IF(X57&lt;&gt;"",SUMIF(Rencontres_N3_PN_Rx[Code_JA],X57,Rencontres_N3_PN_Rx[frais defiscalisable]),"")</f>
        <v/>
      </c>
    </row>
    <row r="58" spans="1:31" ht="15" customHeight="1" x14ac:dyDescent="0.25">
      <c r="A58" s="19" t="s">
        <v>3273</v>
      </c>
      <c r="B58" s="20" t="s">
        <v>540</v>
      </c>
      <c r="C58" s="21" t="s">
        <v>541</v>
      </c>
      <c r="D58" s="21" t="s">
        <v>542</v>
      </c>
      <c r="E58" s="21" t="s">
        <v>543</v>
      </c>
      <c r="F58" s="19">
        <v>76480</v>
      </c>
      <c r="G58" s="21" t="s">
        <v>544</v>
      </c>
      <c r="H58" s="42" t="s">
        <v>545</v>
      </c>
      <c r="I58" s="43" t="s">
        <v>546</v>
      </c>
      <c r="J58" s="43" t="s">
        <v>546</v>
      </c>
      <c r="K58" s="44" t="s">
        <v>547</v>
      </c>
      <c r="L58" s="21" t="s">
        <v>548</v>
      </c>
      <c r="M58" s="19">
        <f>_xlfn.XLOOKUP(tab_JA[[#This Row],[Code]],Rencontres_N3_PN_Rx[Code_JA],Rencontres_N3_PN_Rx[prest],0,0)</f>
        <v>0</v>
      </c>
      <c r="N58" s="19" t="s">
        <v>36</v>
      </c>
      <c r="O58" s="26"/>
      <c r="P58" s="27">
        <f>SUMIF(Rencontres_N3_PN_Rx[Code_JA],tab_JA[[#This Row],[Code]],Rencontres_N3_PN_Rx[Frais_JA])</f>
        <v>0</v>
      </c>
      <c r="S58" s="30" t="str">
        <v>ROFA</v>
      </c>
      <c r="T58" s="30" t="str">
        <v>ROIZIL</v>
      </c>
      <c r="U58" s="30" t="str">
        <v>Fabien</v>
      </c>
      <c r="W58" s="31" t="str">
        <f>IF(X58&lt;&gt;"",_xlfn.XLOOKUP(X58,tab_JA[Code],tab_JA[N_licence],"so"),"")</f>
        <v/>
      </c>
      <c r="X58" s="32"/>
      <c r="AA58" s="33" t="s">
        <v>2552</v>
      </c>
      <c r="AB58" s="33" t="s">
        <v>2552</v>
      </c>
      <c r="AC58" s="33" t="s">
        <v>2552</v>
      </c>
      <c r="AD58" s="34" t="str">
        <f>IF(X58&lt;&gt;"",SUMIF(Rencontres_N3_PN_Rx[Code_JA],X58,Rencontres_N3_PN_Rx[Frais_JA])-SUMIF(Rencontres_N3_PN_Rx[Code_JA],X58,Rencontres_N3_PN_Rx[frais defiscalisable]),"")</f>
        <v/>
      </c>
      <c r="AE58" s="121" t="str">
        <f>IF(X58&lt;&gt;"",SUMIF(Rencontres_N3_PN_Rx[Code_JA],X58,Rencontres_N3_PN_Rx[frais defiscalisable]),"")</f>
        <v/>
      </c>
    </row>
    <row r="59" spans="1:31" ht="15" customHeight="1" x14ac:dyDescent="0.25">
      <c r="A59" s="19" t="s">
        <v>531</v>
      </c>
      <c r="B59" s="20" t="s">
        <v>532</v>
      </c>
      <c r="C59" s="21" t="s">
        <v>533</v>
      </c>
      <c r="D59" s="21" t="s">
        <v>534</v>
      </c>
      <c r="E59" s="21" t="s">
        <v>535</v>
      </c>
      <c r="F59" s="19">
        <v>14000</v>
      </c>
      <c r="G59" s="21" t="s">
        <v>63</v>
      </c>
      <c r="H59" s="42" t="s">
        <v>536</v>
      </c>
      <c r="I59" s="43"/>
      <c r="J59" s="43" t="s">
        <v>537</v>
      </c>
      <c r="K59" s="44" t="s">
        <v>538</v>
      </c>
      <c r="L59" s="21" t="s">
        <v>539</v>
      </c>
      <c r="M59" s="19">
        <f>_xlfn.XLOOKUP(tab_JA[[#This Row],[Code]],Rencontres_N3_PN_Rx[Code_JA],Rencontres_N3_PN_Rx[prest],0,0)</f>
        <v>0</v>
      </c>
      <c r="N59" s="19" t="s">
        <v>36</v>
      </c>
      <c r="O59" s="26"/>
      <c r="P59" s="27">
        <f>SUMIF(Rencontres_N3_PN_Rx[Code_JA],tab_JA[[#This Row],[Code]],Rencontres_N3_PN_Rx[Frais_JA])</f>
        <v>0</v>
      </c>
      <c r="S59" s="30" t="str">
        <v>ROPI</v>
      </c>
      <c r="T59" s="30" t="str">
        <v>ROUAULT</v>
      </c>
      <c r="U59" s="30" t="str">
        <v>Pierrick</v>
      </c>
      <c r="W59" s="31" t="str">
        <f>IF(X59&lt;&gt;"",_xlfn.XLOOKUP(X59,tab_JA[Code],tab_JA[N_licence],"so"),"")</f>
        <v/>
      </c>
      <c r="X59" s="32"/>
      <c r="AA59" s="33" t="s">
        <v>2552</v>
      </c>
      <c r="AB59" s="33" t="s">
        <v>2552</v>
      </c>
      <c r="AC59" s="33" t="s">
        <v>2552</v>
      </c>
      <c r="AD59" s="34" t="str">
        <f>IF(X59&lt;&gt;"",SUMIF(Rencontres_N3_PN_Rx[Code_JA],X59,Rencontres_N3_PN_Rx[Frais_JA])-SUMIF(Rencontres_N3_PN_Rx[Code_JA],X59,Rencontres_N3_PN_Rx[frais defiscalisable]),"")</f>
        <v/>
      </c>
      <c r="AE59" s="121" t="str">
        <f>IF(X59&lt;&gt;"",SUMIF(Rencontres_N3_PN_Rx[Code_JA],X59,Rencontres_N3_PN_Rx[frais defiscalisable]),"")</f>
        <v/>
      </c>
    </row>
    <row r="60" spans="1:31" ht="15" customHeight="1" x14ac:dyDescent="0.25">
      <c r="A60" s="19" t="s">
        <v>513</v>
      </c>
      <c r="B60" s="46" t="s">
        <v>514</v>
      </c>
      <c r="C60" s="21" t="s">
        <v>515</v>
      </c>
      <c r="D60" s="21" t="s">
        <v>516</v>
      </c>
      <c r="E60" s="21" t="s">
        <v>517</v>
      </c>
      <c r="F60" s="19">
        <v>76000</v>
      </c>
      <c r="G60" s="21" t="s">
        <v>411</v>
      </c>
      <c r="H60" s="42" t="s">
        <v>518</v>
      </c>
      <c r="I60" s="43" t="s">
        <v>519</v>
      </c>
      <c r="J60" s="43" t="s">
        <v>520</v>
      </c>
      <c r="K60" s="45" t="s">
        <v>521</v>
      </c>
      <c r="L60" s="21" t="s">
        <v>522</v>
      </c>
      <c r="M60" s="19">
        <f>_xlfn.XLOOKUP(tab_JA[[#This Row],[Code]],Rencontres_N3_PN_Rx[Code_JA],Rencontres_N3_PN_Rx[prest],0,0)</f>
        <v>0</v>
      </c>
      <c r="N60" s="19" t="s">
        <v>36</v>
      </c>
      <c r="O60" s="26"/>
      <c r="P60" s="27">
        <f>SUMIF(Rencontres_N3_PN_Rx[Code_JA],tab_JA[[#This Row],[Code]],Rencontres_N3_PN_Rx[Frais_JA])</f>
        <v>0</v>
      </c>
      <c r="S60" s="30" t="str">
        <v>TELA</v>
      </c>
      <c r="T60" s="30" t="str">
        <v>TEURTERIE</v>
      </c>
      <c r="U60" s="30" t="str">
        <v>Laurence</v>
      </c>
      <c r="W60" s="31" t="str">
        <f>IF(X60&lt;&gt;"",_xlfn.XLOOKUP(X60,tab_JA[Code],tab_JA[N_licence],"so"),"")</f>
        <v/>
      </c>
      <c r="X60" s="32"/>
      <c r="AA60" s="33" t="s">
        <v>2552</v>
      </c>
      <c r="AB60" s="33" t="s">
        <v>2552</v>
      </c>
      <c r="AC60" s="33" t="s">
        <v>2552</v>
      </c>
      <c r="AD60" s="34" t="str">
        <f>IF(X60&lt;&gt;"",SUMIF(Rencontres_N3_PN_Rx[Code_JA],X60,Rencontres_N3_PN_Rx[Frais_JA])-SUMIF(Rencontres_N3_PN_Rx[Code_JA],X60,Rencontres_N3_PN_Rx[frais defiscalisable]),"")</f>
        <v/>
      </c>
      <c r="AE60" s="121" t="str">
        <f>IF(X60&lt;&gt;"",SUMIF(Rencontres_N3_PN_Rx[Code_JA],X60,Rencontres_N3_PN_Rx[frais defiscalisable]),"")</f>
        <v/>
      </c>
    </row>
    <row r="61" spans="1:31" ht="15" customHeight="1" x14ac:dyDescent="0.25">
      <c r="A61" s="19" t="s">
        <v>588</v>
      </c>
      <c r="B61" s="20" t="s">
        <v>589</v>
      </c>
      <c r="C61" s="21" t="s">
        <v>590</v>
      </c>
      <c r="D61" s="21" t="s">
        <v>591</v>
      </c>
      <c r="E61" s="21" t="s">
        <v>592</v>
      </c>
      <c r="F61" s="19">
        <v>27310</v>
      </c>
      <c r="G61" s="21" t="s">
        <v>593</v>
      </c>
      <c r="H61" s="42" t="s">
        <v>594</v>
      </c>
      <c r="I61" s="43" t="s">
        <v>595</v>
      </c>
      <c r="J61" s="43" t="s">
        <v>596</v>
      </c>
      <c r="K61" s="44" t="s">
        <v>597</v>
      </c>
      <c r="L61" s="21" t="s">
        <v>598</v>
      </c>
      <c r="M61" s="19">
        <f>_xlfn.XLOOKUP(tab_JA[[#This Row],[Code]],Rencontres_N3_PN_Rx[Code_JA],Rencontres_N3_PN_Rx[prest],0,0)</f>
        <v>0</v>
      </c>
      <c r="N61" s="19" t="s">
        <v>36</v>
      </c>
      <c r="O61" s="26"/>
      <c r="P61" s="27">
        <f>SUMIF(Rencontres_N3_PN_Rx[Code_JA],tab_JA[[#This Row],[Code]],Rencontres_N3_PN_Rx[Frais_JA])</f>
        <v>0</v>
      </c>
      <c r="S61" s="30" t="str">
        <v>TEPA</v>
      </c>
      <c r="T61" s="30" t="str">
        <v>TEURTERIE</v>
      </c>
      <c r="U61" s="30" t="str">
        <v>Pascal</v>
      </c>
      <c r="W61" s="31" t="str">
        <f>IF(X61&lt;&gt;"",_xlfn.XLOOKUP(X61,tab_JA[Code],tab_JA[N_licence],"so"),"")</f>
        <v/>
      </c>
      <c r="X61" s="32"/>
      <c r="AA61" s="33" t="s">
        <v>2552</v>
      </c>
      <c r="AB61" s="33" t="s">
        <v>2552</v>
      </c>
      <c r="AC61" s="33" t="s">
        <v>2552</v>
      </c>
      <c r="AD61" s="34" t="str">
        <f>IF(X61&lt;&gt;"",SUMIF(Rencontres_N3_PN_Rx[Code_JA],X61,Rencontres_N3_PN_Rx[Frais_JA])-SUMIF(Rencontres_N3_PN_Rx[Code_JA],X61,Rencontres_N3_PN_Rx[frais defiscalisable]),"")</f>
        <v/>
      </c>
      <c r="AE61" s="121" t="str">
        <f>IF(X61&lt;&gt;"",SUMIF(Rencontres_N3_PN_Rx[Code_JA],X61,Rencontres_N3_PN_Rx[frais defiscalisable]),"")</f>
        <v/>
      </c>
    </row>
    <row r="62" spans="1:31" ht="15" customHeight="1" x14ac:dyDescent="0.25">
      <c r="A62" s="19" t="s">
        <v>599</v>
      </c>
      <c r="B62" s="20" t="s">
        <v>600</v>
      </c>
      <c r="C62" s="21" t="s">
        <v>601</v>
      </c>
      <c r="D62" s="21" t="s">
        <v>602</v>
      </c>
      <c r="E62" s="21" t="s">
        <v>603</v>
      </c>
      <c r="F62" s="19">
        <v>27250</v>
      </c>
      <c r="G62" s="21" t="s">
        <v>604</v>
      </c>
      <c r="H62" s="42" t="s">
        <v>605</v>
      </c>
      <c r="I62" s="43"/>
      <c r="J62" s="43"/>
      <c r="K62" s="44" t="s">
        <v>256</v>
      </c>
      <c r="L62" s="21" t="s">
        <v>257</v>
      </c>
      <c r="M62" s="19">
        <f>_xlfn.XLOOKUP(tab_JA[[#This Row],[Code]],Rencontres_N3_PN_Rx[Code_JA],Rencontres_N3_PN_Rx[prest],0,0)</f>
        <v>0</v>
      </c>
      <c r="N62" s="19" t="s">
        <v>36</v>
      </c>
      <c r="O62" s="26"/>
      <c r="P62" s="27">
        <f>SUMIF(Rencontres_N3_PN_Rx[Code_JA],tab_JA[[#This Row],[Code]],Rencontres_N3_PN_Rx[Frais_JA])</f>
        <v>0</v>
      </c>
      <c r="S62" s="30" t="str">
        <v>THTH</v>
      </c>
      <c r="T62" s="30" t="str">
        <v>THEBAUT</v>
      </c>
      <c r="U62" s="30" t="str">
        <v>Thierry</v>
      </c>
      <c r="W62" s="31" t="str">
        <f>IF(X62&lt;&gt;"",_xlfn.XLOOKUP(X62,tab_JA[Code],tab_JA[N_licence],"so"),"")</f>
        <v/>
      </c>
      <c r="X62" s="32"/>
      <c r="AA62" s="33" t="s">
        <v>2552</v>
      </c>
      <c r="AB62" s="33" t="s">
        <v>2552</v>
      </c>
      <c r="AC62" s="33" t="s">
        <v>2552</v>
      </c>
      <c r="AD62" s="34" t="str">
        <f>IF(X62&lt;&gt;"",SUMIF(Rencontres_N3_PN_Rx[Code_JA],X62,Rencontres_N3_PN_Rx[Frais_JA])-SUMIF(Rencontres_N3_PN_Rx[Code_JA],X62,Rencontres_N3_PN_Rx[frais defiscalisable]),"")</f>
        <v/>
      </c>
      <c r="AE62" s="121" t="str">
        <f>IF(X62&lt;&gt;"",SUMIF(Rencontres_N3_PN_Rx[Code_JA],X62,Rencontres_N3_PN_Rx[frais defiscalisable]),"")</f>
        <v/>
      </c>
    </row>
    <row r="63" spans="1:31" ht="15" customHeight="1" x14ac:dyDescent="0.25">
      <c r="A63" s="19" t="s">
        <v>3275</v>
      </c>
      <c r="B63" s="20" t="s">
        <v>606</v>
      </c>
      <c r="C63" s="21" t="s">
        <v>607</v>
      </c>
      <c r="D63" s="21" t="s">
        <v>608</v>
      </c>
      <c r="E63" s="21" t="s">
        <v>609</v>
      </c>
      <c r="F63" s="19">
        <v>76290</v>
      </c>
      <c r="G63" s="21" t="s">
        <v>610</v>
      </c>
      <c r="H63" s="42" t="s">
        <v>611</v>
      </c>
      <c r="I63" s="43" t="s">
        <v>612</v>
      </c>
      <c r="J63" s="43"/>
      <c r="K63" s="44" t="s">
        <v>613</v>
      </c>
      <c r="L63" s="21" t="s">
        <v>614</v>
      </c>
      <c r="M63" s="19">
        <f>_xlfn.XLOOKUP(tab_JA[[#This Row],[Code]],Rencontres_N3_PN_Rx[Code_JA],Rencontres_N3_PN_Rx[prest],0,0)</f>
        <v>0</v>
      </c>
      <c r="N63" s="19" t="s">
        <v>36</v>
      </c>
      <c r="O63" s="26"/>
      <c r="P63" s="27">
        <f>SUMIF(Rencontres_N3_PN_Rx[Code_JA],tab_JA[[#This Row],[Code]],Rencontres_N3_PN_Rx[Frais_JA])</f>
        <v>0</v>
      </c>
      <c r="S63" s="30" t="str">
        <v>TRAN</v>
      </c>
      <c r="T63" s="30" t="str">
        <v>TRAVES</v>
      </c>
      <c r="U63" s="30" t="str">
        <v>Annie</v>
      </c>
      <c r="W63" s="31" t="str">
        <f>IF(X63&lt;&gt;"",_xlfn.XLOOKUP(X63,tab_JA[Code],tab_JA[N_licence],"so"),"")</f>
        <v/>
      </c>
      <c r="X63" s="32"/>
      <c r="AA63" s="33" t="s">
        <v>2552</v>
      </c>
      <c r="AB63" s="33" t="s">
        <v>2552</v>
      </c>
      <c r="AC63" s="33" t="s">
        <v>2552</v>
      </c>
      <c r="AD63" s="34" t="str">
        <f>IF(X63&lt;&gt;"",SUMIF(Rencontres_N3_PN_Rx[Code_JA],X63,Rencontres_N3_PN_Rx[Frais_JA])-SUMIF(Rencontres_N3_PN_Rx[Code_JA],X63,Rencontres_N3_PN_Rx[frais defiscalisable]),"")</f>
        <v/>
      </c>
      <c r="AE63" s="121" t="str">
        <f>IF(X63&lt;&gt;"",SUMIF(Rencontres_N3_PN_Rx[Code_JA],X63,Rencontres_N3_PN_Rx[frais defiscalisable]),"")</f>
        <v/>
      </c>
    </row>
    <row r="64" spans="1:31" ht="15" customHeight="1" x14ac:dyDescent="0.25">
      <c r="A64" s="19" t="s">
        <v>625</v>
      </c>
      <c r="B64" s="20" t="s">
        <v>626</v>
      </c>
      <c r="C64" s="21" t="s">
        <v>627</v>
      </c>
      <c r="D64" s="21" t="s">
        <v>628</v>
      </c>
      <c r="E64" s="21" t="s">
        <v>629</v>
      </c>
      <c r="F64" s="19">
        <v>76210</v>
      </c>
      <c r="G64" s="21" t="s">
        <v>630</v>
      </c>
      <c r="H64" s="42" t="s">
        <v>631</v>
      </c>
      <c r="I64" s="43" t="s">
        <v>632</v>
      </c>
      <c r="J64" s="43" t="s">
        <v>633</v>
      </c>
      <c r="K64" s="44" t="s">
        <v>634</v>
      </c>
      <c r="L64" s="21" t="s">
        <v>635</v>
      </c>
      <c r="M64" s="19">
        <f>_xlfn.XLOOKUP(tab_JA[[#This Row],[Code]],Rencontres_N3_PN_Rx[Code_JA],Rencontres_N3_PN_Rx[prest],0,0)</f>
        <v>0</v>
      </c>
      <c r="N64" s="19" t="s">
        <v>36</v>
      </c>
      <c r="O64" s="26"/>
      <c r="P64" s="27">
        <f>SUMIF(Rencontres_N3_PN_Rx[Code_JA],tab_JA[[#This Row],[Code]],Rencontres_N3_PN_Rx[Frais_JA])</f>
        <v>0</v>
      </c>
      <c r="S64" s="30" t="str">
        <v>VAAG</v>
      </c>
      <c r="T64" s="30" t="str">
        <v>VASSE</v>
      </c>
      <c r="U64" s="30" t="str">
        <v>Agnes</v>
      </c>
      <c r="W64" s="31" t="str">
        <f>IF(X64&lt;&gt;"",_xlfn.XLOOKUP(X64,tab_JA[Code],tab_JA[N_licence],"so"),"")</f>
        <v/>
      </c>
      <c r="X64" s="32"/>
      <c r="AA64" s="33" t="s">
        <v>2552</v>
      </c>
      <c r="AB64" s="33" t="s">
        <v>2552</v>
      </c>
      <c r="AC64" s="33" t="s">
        <v>2552</v>
      </c>
      <c r="AD64" s="34" t="str">
        <f>IF(X64&lt;&gt;"",SUMIF(Rencontres_N3_PN_Rx[Code_JA],X64,Rencontres_N3_PN_Rx[Frais_JA])-SUMIF(Rencontres_N3_PN_Rx[Code_JA],X64,Rencontres_N3_PN_Rx[frais defiscalisable]),"")</f>
        <v/>
      </c>
      <c r="AE64" s="121" t="str">
        <f>IF(X64&lt;&gt;"",SUMIF(Rencontres_N3_PN_Rx[Code_JA],X64,Rencontres_N3_PN_Rx[frais defiscalisable]),"")</f>
        <v/>
      </c>
    </row>
    <row r="65" spans="1:31" ht="15" customHeight="1" x14ac:dyDescent="0.25">
      <c r="A65" s="19" t="s">
        <v>644</v>
      </c>
      <c r="B65" s="20" t="s">
        <v>645</v>
      </c>
      <c r="C65" s="21" t="s">
        <v>646</v>
      </c>
      <c r="D65" s="21" t="s">
        <v>591</v>
      </c>
      <c r="E65" s="21" t="s">
        <v>647</v>
      </c>
      <c r="F65" s="19">
        <v>76450</v>
      </c>
      <c r="G65" s="21" t="s">
        <v>648</v>
      </c>
      <c r="H65" s="42" t="s">
        <v>649</v>
      </c>
      <c r="I65" s="43"/>
      <c r="J65" s="43" t="s">
        <v>650</v>
      </c>
      <c r="K65" s="44" t="s">
        <v>335</v>
      </c>
      <c r="L65" s="21" t="s">
        <v>336</v>
      </c>
      <c r="M65" s="19">
        <f>_xlfn.XLOOKUP(tab_JA[[#This Row],[Code]],Rencontres_N3_PN_Rx[Code_JA],Rencontres_N3_PN_Rx[prest],0,0)</f>
        <v>0</v>
      </c>
      <c r="N65" s="19" t="s">
        <v>36</v>
      </c>
      <c r="O65" s="26"/>
      <c r="P65" s="27">
        <f>SUMIF(Rencontres_N3_PN_Rx[Code_JA],tab_JA[[#This Row],[Code]],Rencontres_N3_PN_Rx[Frais_JA])</f>
        <v>0</v>
      </c>
      <c r="S65" s="30" t="str">
        <v>VAAN</v>
      </c>
      <c r="T65" s="30" t="str">
        <v>VAUTIER</v>
      </c>
      <c r="U65" s="30" t="str">
        <v>Antoine</v>
      </c>
      <c r="W65" s="31" t="str">
        <f>IF(X65&lt;&gt;"",_xlfn.XLOOKUP(X65,tab_JA[Code],tab_JA[N_licence],"so"),"")</f>
        <v/>
      </c>
      <c r="X65" s="32"/>
      <c r="AA65" s="33" t="s">
        <v>2552</v>
      </c>
      <c r="AB65" s="33" t="s">
        <v>2552</v>
      </c>
      <c r="AC65" s="33" t="s">
        <v>2552</v>
      </c>
      <c r="AD65" s="34" t="str">
        <f>IF(X65&lt;&gt;"",SUMIF(Rencontres_N3_PN_Rx[Code_JA],X65,Rencontres_N3_PN_Rx[Frais_JA])-SUMIF(Rencontres_N3_PN_Rx[Code_JA],X65,Rencontres_N3_PN_Rx[frais defiscalisable]),"")</f>
        <v/>
      </c>
      <c r="AE65" s="121" t="str">
        <f>IF(X65&lt;&gt;"",SUMIF(Rencontres_N3_PN_Rx[Code_JA],X65,Rencontres_N3_PN_Rx[frais defiscalisable]),"")</f>
        <v/>
      </c>
    </row>
    <row r="66" spans="1:31" ht="15" customHeight="1" x14ac:dyDescent="0.25">
      <c r="A66" s="19" t="s">
        <v>659</v>
      </c>
      <c r="B66" s="20" t="s">
        <v>660</v>
      </c>
      <c r="C66" s="21" t="s">
        <v>661</v>
      </c>
      <c r="D66" s="21" t="s">
        <v>662</v>
      </c>
      <c r="E66" s="21" t="s">
        <v>663</v>
      </c>
      <c r="F66" s="19">
        <v>14280</v>
      </c>
      <c r="G66" s="21" t="s">
        <v>664</v>
      </c>
      <c r="H66" s="42" t="s">
        <v>665</v>
      </c>
      <c r="I66" s="43"/>
      <c r="J66" s="43" t="s">
        <v>666</v>
      </c>
      <c r="K66" s="44" t="s">
        <v>56</v>
      </c>
      <c r="L66" s="21" t="s">
        <v>57</v>
      </c>
      <c r="M66" s="19">
        <f>_xlfn.XLOOKUP(tab_JA[[#This Row],[Code]],Rencontres_N3_PN_Rx[Code_JA],Rencontres_N3_PN_Rx[prest],0,0)</f>
        <v>0</v>
      </c>
      <c r="N66" s="19" t="s">
        <v>36</v>
      </c>
      <c r="O66" s="26"/>
      <c r="P66" s="27">
        <f>SUMIF(Rencontres_N3_PN_Rx[Code_JA],tab_JA[[#This Row],[Code]],Rencontres_N3_PN_Rx[Frais_JA])</f>
        <v>0</v>
      </c>
      <c r="S66" s="30" t="str">
        <v>VACH</v>
      </c>
      <c r="T66" s="30" t="str">
        <v>VAUTIER</v>
      </c>
      <c r="U66" s="30" t="str">
        <v>Christian</v>
      </c>
      <c r="W66" s="31" t="str">
        <f>IF(X66&lt;&gt;"",_xlfn.XLOOKUP(X66,tab_JA[Code],tab_JA[N_licence],"so"),"")</f>
        <v/>
      </c>
      <c r="X66" s="32"/>
      <c r="AA66" s="33" t="s">
        <v>2552</v>
      </c>
      <c r="AB66" s="33" t="s">
        <v>2552</v>
      </c>
      <c r="AC66" s="33" t="s">
        <v>2552</v>
      </c>
      <c r="AD66" s="34" t="str">
        <f>IF(X66&lt;&gt;"",SUMIF(Rencontres_N3_PN_Rx[Code_JA],X66,Rencontres_N3_PN_Rx[Frais_JA])-SUMIF(Rencontres_N3_PN_Rx[Code_JA],X66,Rencontres_N3_PN_Rx[frais defiscalisable]),"")</f>
        <v/>
      </c>
      <c r="AE66" s="121" t="str">
        <f>IF(X66&lt;&gt;"",SUMIF(Rencontres_N3_PN_Rx[Code_JA],X66,Rencontres_N3_PN_Rx[frais defiscalisable]),"")</f>
        <v/>
      </c>
    </row>
    <row r="67" spans="1:31" ht="15" customHeight="1" x14ac:dyDescent="0.25">
      <c r="A67" s="19" t="s">
        <v>636</v>
      </c>
      <c r="B67" s="20" t="s">
        <v>637</v>
      </c>
      <c r="C67" s="21" t="s">
        <v>638</v>
      </c>
      <c r="D67" s="21" t="s">
        <v>40</v>
      </c>
      <c r="E67" s="21" t="s">
        <v>639</v>
      </c>
      <c r="F67" s="19">
        <v>61360</v>
      </c>
      <c r="G67" s="21" t="s">
        <v>640</v>
      </c>
      <c r="H67" s="42" t="s">
        <v>641</v>
      </c>
      <c r="I67" s="43" t="s">
        <v>642</v>
      </c>
      <c r="J67" s="43" t="s">
        <v>643</v>
      </c>
      <c r="K67" s="44" t="s">
        <v>433</v>
      </c>
      <c r="L67" s="21" t="s">
        <v>434</v>
      </c>
      <c r="M67" s="19">
        <f>_xlfn.XLOOKUP(tab_JA[[#This Row],[Code]],Rencontres_N3_PN_Rx[Code_JA],Rencontres_N3_PN_Rx[prest],0,0)</f>
        <v>0</v>
      </c>
      <c r="N67" s="19" t="s">
        <v>36</v>
      </c>
      <c r="O67" s="26"/>
      <c r="P67" s="27">
        <f>SUMIF(Rencontres_N3_PN_Rx[Code_JA],tab_JA[[#This Row],[Code]],Rencontres_N3_PN_Rx[Frais_JA])</f>
        <v>0</v>
      </c>
      <c r="S67" s="30" t="str">
        <v>VAME</v>
      </c>
      <c r="T67" s="30" t="str">
        <v>VAUTIER</v>
      </c>
      <c r="U67" s="30" t="str">
        <v>Melanie</v>
      </c>
      <c r="W67" s="31" t="str">
        <f>IF(X67&lt;&gt;"",_xlfn.XLOOKUP(X67,tab_JA[Code],tab_JA[N_licence],"so"),"")</f>
        <v/>
      </c>
      <c r="X67" s="32"/>
      <c r="AA67" s="33" t="s">
        <v>2552</v>
      </c>
      <c r="AB67" s="33" t="s">
        <v>2552</v>
      </c>
      <c r="AC67" s="33" t="s">
        <v>2552</v>
      </c>
      <c r="AD67" s="34" t="str">
        <f>IF(X67&lt;&gt;"",SUMIF(Rencontres_N3_PN_Rx[Code_JA],X67,Rencontres_N3_PN_Rx[Frais_JA])-SUMIF(Rencontres_N3_PN_Rx[Code_JA],X67,Rencontres_N3_PN_Rx[frais defiscalisable]),"")</f>
        <v/>
      </c>
      <c r="AE67" s="121" t="str">
        <f>IF(X67&lt;&gt;"",SUMIF(Rencontres_N3_PN_Rx[Code_JA],X67,Rencontres_N3_PN_Rx[frais defiscalisable]),"")</f>
        <v/>
      </c>
    </row>
    <row r="68" spans="1:31" ht="15" customHeight="1" x14ac:dyDescent="0.25">
      <c r="A68" s="19" t="s">
        <v>615</v>
      </c>
      <c r="B68" s="20" t="s">
        <v>616</v>
      </c>
      <c r="C68" s="21" t="s">
        <v>617</v>
      </c>
      <c r="D68" s="21" t="s">
        <v>618</v>
      </c>
      <c r="E68" s="21" t="s">
        <v>619</v>
      </c>
      <c r="F68" s="19">
        <v>14110</v>
      </c>
      <c r="G68" s="21" t="s">
        <v>620</v>
      </c>
      <c r="H68" s="42" t="s">
        <v>621</v>
      </c>
      <c r="I68" s="43"/>
      <c r="J68" s="43" t="s">
        <v>622</v>
      </c>
      <c r="K68" s="44" t="s">
        <v>623</v>
      </c>
      <c r="L68" s="21" t="s">
        <v>624</v>
      </c>
      <c r="M68" s="19">
        <f>_xlfn.XLOOKUP(tab_JA[[#This Row],[Code]],Rencontres_N3_PN_Rx[Code_JA],Rencontres_N3_PN_Rx[prest],0,0)</f>
        <v>0</v>
      </c>
      <c r="N68" s="19" t="s">
        <v>36</v>
      </c>
      <c r="O68" s="26"/>
      <c r="P68" s="27">
        <f>SUMIF(Rencontres_N3_PN_Rx[Code_JA],tab_JA[[#This Row],[Code]],Rencontres_N3_PN_Rx[Frais_JA])</f>
        <v>0</v>
      </c>
      <c r="S68" s="30" t="str">
        <v>YRAN</v>
      </c>
      <c r="T68" s="30" t="str">
        <v>YREUX</v>
      </c>
      <c r="U68" s="30" t="str">
        <v>Antoine</v>
      </c>
      <c r="W68" s="31" t="str">
        <f>IF(X68&lt;&gt;"",_xlfn.XLOOKUP(X68,tab_JA[Code],tab_JA[N_licence],"so"),"")</f>
        <v/>
      </c>
      <c r="X68" s="32"/>
      <c r="AA68" s="33" t="s">
        <v>2552</v>
      </c>
      <c r="AB68" s="33" t="s">
        <v>2552</v>
      </c>
      <c r="AC68" s="33" t="s">
        <v>2552</v>
      </c>
      <c r="AD68" s="34" t="str">
        <f>IF(X68&lt;&gt;"",SUMIF(Rencontres_N3_PN_Rx[Code_JA],X68,Rencontres_N3_PN_Rx[Frais_JA])-SUMIF(Rencontres_N3_PN_Rx[Code_JA],X68,Rencontres_N3_PN_Rx[frais defiscalisable]),"")</f>
        <v/>
      </c>
      <c r="AE68" s="121" t="str">
        <f>IF(X68&lt;&gt;"",SUMIF(Rencontres_N3_PN_Rx[Code_JA],X68,Rencontres_N3_PN_Rx[frais defiscalisable]),"")</f>
        <v/>
      </c>
    </row>
    <row r="69" spans="1:31" ht="15" customHeight="1" x14ac:dyDescent="0.25">
      <c r="A69" s="19" t="s">
        <v>651</v>
      </c>
      <c r="B69" s="20" t="s">
        <v>652</v>
      </c>
      <c r="C69" s="21" t="s">
        <v>653</v>
      </c>
      <c r="D69" s="21" t="s">
        <v>654</v>
      </c>
      <c r="E69" s="21" t="s">
        <v>655</v>
      </c>
      <c r="F69" s="19">
        <v>76310</v>
      </c>
      <c r="G69" s="21" t="s">
        <v>656</v>
      </c>
      <c r="H69" s="42" t="s">
        <v>657</v>
      </c>
      <c r="I69" s="43"/>
      <c r="J69" s="43" t="s">
        <v>658</v>
      </c>
      <c r="K69" s="44" t="s">
        <v>450</v>
      </c>
      <c r="L69" s="21" t="s">
        <v>451</v>
      </c>
      <c r="M69" s="19">
        <f>_xlfn.XLOOKUP(tab_JA[[#This Row],[Code]],Rencontres_N3_PN_Rx[Code_JA],Rencontres_N3_PN_Rx[prest],0,0)</f>
        <v>0</v>
      </c>
      <c r="N69" s="19" t="s">
        <v>36</v>
      </c>
      <c r="O69" s="26"/>
      <c r="P69" s="27">
        <f>SUMIF(Rencontres_N3_PN_Rx[Code_JA],tab_JA[[#This Row],[Code]],Rencontres_N3_PN_Rx[Frais_JA])</f>
        <v>0</v>
      </c>
      <c r="W69" s="31" t="str">
        <f>IF(X69&lt;&gt;"",_xlfn.XLOOKUP(X69,tab_JA[Code],tab_JA[N_licence],"so"),"")</f>
        <v/>
      </c>
      <c r="X69" s="32"/>
      <c r="AA69" s="33" t="s">
        <v>2552</v>
      </c>
      <c r="AB69" s="33" t="s">
        <v>2552</v>
      </c>
      <c r="AC69" s="33" t="s">
        <v>2552</v>
      </c>
      <c r="AD69" s="34" t="str">
        <f>IF(X69&lt;&gt;"",SUMIF(Rencontres_N3_PN_Rx[Code_JA],X69,Rencontres_N3_PN_Rx[Frais_JA])-SUMIF(Rencontres_N3_PN_Rx[Code_JA],X69,Rencontres_N3_PN_Rx[frais defiscalisable]),"")</f>
        <v/>
      </c>
      <c r="AE69" s="121" t="str">
        <f>IF(X69&lt;&gt;"",SUMIF(Rencontres_N3_PN_Rx[Code_JA],X69,Rencontres_N3_PN_Rx[frais defiscalisable]),"")</f>
        <v/>
      </c>
    </row>
    <row r="70" spans="1:31" ht="15" customHeight="1" x14ac:dyDescent="0.25">
      <c r="A70" s="19" t="s">
        <v>667</v>
      </c>
      <c r="B70" s="20" t="s">
        <v>668</v>
      </c>
      <c r="C70" s="21" t="s">
        <v>669</v>
      </c>
      <c r="D70" s="21" t="s">
        <v>670</v>
      </c>
      <c r="E70" s="21" t="s">
        <v>671</v>
      </c>
      <c r="F70" s="19">
        <v>27100</v>
      </c>
      <c r="G70" s="21" t="s">
        <v>672</v>
      </c>
      <c r="H70" s="42" t="s">
        <v>673</v>
      </c>
      <c r="I70" s="43"/>
      <c r="J70" s="43" t="s">
        <v>674</v>
      </c>
      <c r="K70" s="44" t="s">
        <v>394</v>
      </c>
      <c r="L70" s="21" t="s">
        <v>395</v>
      </c>
      <c r="M70" s="19">
        <f>_xlfn.XLOOKUP(tab_JA[[#This Row],[Code]],Rencontres_N3_PN_Rx[Code_JA],Rencontres_N3_PN_Rx[prest],0,0)</f>
        <v>0</v>
      </c>
      <c r="N70" s="19" t="s">
        <v>36</v>
      </c>
      <c r="O70" s="26"/>
      <c r="P70" s="27">
        <f>SUMIF(Rencontres_N3_PN_Rx[Code_JA],tab_JA[[#This Row],[Code]],Rencontres_N3_PN_Rx[Frais_JA])</f>
        <v>0</v>
      </c>
      <c r="W70" s="31" t="str">
        <f>IF(X70&lt;&gt;"",_xlfn.XLOOKUP(X70,tab_JA[Code],tab_JA[N_licence],"so"),"")</f>
        <v/>
      </c>
      <c r="X70" s="32"/>
      <c r="AA70" s="33" t="s">
        <v>2552</v>
      </c>
      <c r="AB70" s="33" t="s">
        <v>2552</v>
      </c>
      <c r="AC70" s="33" t="s">
        <v>2552</v>
      </c>
      <c r="AD70" s="34" t="str">
        <f>IF(X70&lt;&gt;"",SUMIF(Rencontres_N3_PN_Rx[Code_JA],X70,Rencontres_N3_PN_Rx[Frais_JA])-SUMIF(Rencontres_N3_PN_Rx[Code_JA],X70,Rencontres_N3_PN_Rx[frais defiscalisable]),"")</f>
        <v/>
      </c>
      <c r="AE70" s="121" t="str">
        <f>IF(X70&lt;&gt;"",SUMIF(Rencontres_N3_PN_Rx[Code_JA],X70,Rencontres_N3_PN_Rx[frais defiscalisable]),"")</f>
        <v/>
      </c>
    </row>
    <row r="71" spans="1:31" ht="15" customHeight="1" x14ac:dyDescent="0.25">
      <c r="A71" s="19" t="s">
        <v>3277</v>
      </c>
      <c r="B71" s="20" t="s">
        <v>684</v>
      </c>
      <c r="C71" s="21" t="s">
        <v>685</v>
      </c>
      <c r="D71" s="21" t="s">
        <v>686</v>
      </c>
      <c r="E71" s="21" t="s">
        <v>687</v>
      </c>
      <c r="F71" s="19">
        <v>69330</v>
      </c>
      <c r="G71" s="21" t="s">
        <v>688</v>
      </c>
      <c r="H71" s="42" t="s">
        <v>689</v>
      </c>
      <c r="I71" s="43"/>
      <c r="J71" s="43" t="s">
        <v>690</v>
      </c>
      <c r="K71" s="44" t="s">
        <v>691</v>
      </c>
      <c r="L71" s="21" t="s">
        <v>692</v>
      </c>
      <c r="M71" s="19">
        <f>_xlfn.XLOOKUP(tab_JA[[#This Row],[Code]],Rencontres_N3_PN_Rx[Code_JA],Rencontres_N3_PN_Rx[prest],0,0)</f>
        <v>0</v>
      </c>
      <c r="N71" s="19" t="s">
        <v>36</v>
      </c>
      <c r="O71" s="26"/>
      <c r="P71" s="27">
        <f>SUMIF(Rencontres_N3_PN_Rx[Code_JA],tab_JA[[#This Row],[Code]],Rencontres_N3_PN_Rx[Frais_JA])</f>
        <v>0</v>
      </c>
      <c r="W71" s="31" t="str">
        <f>IF(X71&lt;&gt;"",_xlfn.XLOOKUP(X71,tab_JA[Code],tab_JA[N_licence],"so"),"")</f>
        <v/>
      </c>
      <c r="X71" s="32"/>
      <c r="AA71" s="33" t="s">
        <v>2552</v>
      </c>
      <c r="AB71" s="33" t="s">
        <v>2552</v>
      </c>
      <c r="AC71" s="33" t="s">
        <v>2552</v>
      </c>
      <c r="AD71" s="34" t="str">
        <f>IF(X71&lt;&gt;"",SUMIF(Rencontres_N3_PN_Rx[Code_JA],X71,Rencontres_N3_PN_Rx[Frais_JA])-SUMIF(Rencontres_N3_PN_Rx[Code_JA],X71,Rencontres_N3_PN_Rx[frais defiscalisable]),"")</f>
        <v/>
      </c>
      <c r="AE71" s="121" t="str">
        <f>IF(X71&lt;&gt;"",SUMIF(Rencontres_N3_PN_Rx[Code_JA],X71,Rencontres_N3_PN_Rx[frais defiscalisable]),"")</f>
        <v/>
      </c>
    </row>
    <row r="72" spans="1:31" ht="15" customHeight="1" x14ac:dyDescent="0.25">
      <c r="A72" s="19" t="s">
        <v>3276</v>
      </c>
      <c r="B72" s="20" t="s">
        <v>675</v>
      </c>
      <c r="C72" s="21" t="s">
        <v>676</v>
      </c>
      <c r="D72" s="21" t="s">
        <v>677</v>
      </c>
      <c r="E72" s="21" t="s">
        <v>678</v>
      </c>
      <c r="F72" s="19">
        <v>76360</v>
      </c>
      <c r="G72" s="21" t="s">
        <v>679</v>
      </c>
      <c r="H72" s="42" t="s">
        <v>680</v>
      </c>
      <c r="I72" s="43"/>
      <c r="J72" s="43" t="s">
        <v>681</v>
      </c>
      <c r="K72" s="44" t="s">
        <v>682</v>
      </c>
      <c r="L72" s="21" t="s">
        <v>683</v>
      </c>
      <c r="M72" s="19">
        <f>_xlfn.XLOOKUP(tab_JA[[#This Row],[Code]],Rencontres_N3_PN_Rx[Code_JA],Rencontres_N3_PN_Rx[prest],0,0)</f>
        <v>0</v>
      </c>
      <c r="N72" s="19" t="s">
        <v>36</v>
      </c>
      <c r="O72" s="26"/>
      <c r="P72" s="27">
        <f>SUMIF(Rencontres_N3_PN_Rx[Code_JA],tab_JA[[#This Row],[Code]],Rencontres_N3_PN_Rx[Frais_JA])</f>
        <v>0</v>
      </c>
      <c r="W72" s="31" t="str">
        <f>IF(X72&lt;&gt;"",_xlfn.XLOOKUP(X72,tab_JA[Code],tab_JA[N_licence],"so"),"")</f>
        <v/>
      </c>
      <c r="X72" s="32"/>
      <c r="AA72" s="33" t="s">
        <v>2552</v>
      </c>
      <c r="AB72" s="33" t="s">
        <v>2552</v>
      </c>
      <c r="AC72" s="33" t="s">
        <v>2552</v>
      </c>
      <c r="AD72" s="34" t="str">
        <f>IF(X72&lt;&gt;"",SUMIF(Rencontres_N3_PN_Rx[Code_JA],X72,Rencontres_N3_PN_Rx[Frais_JA])-SUMIF(Rencontres_N3_PN_Rx[Code_JA],X72,Rencontres_N3_PN_Rx[frais defiscalisable]),"")</f>
        <v/>
      </c>
      <c r="AE72" s="121" t="str">
        <f>IF(X72&lt;&gt;"",SUMIF(Rencontres_N3_PN_Rx[Code_JA],X72,Rencontres_N3_PN_Rx[frais defiscalisable]),"")</f>
        <v/>
      </c>
    </row>
    <row r="73" spans="1:31" ht="15" customHeight="1" x14ac:dyDescent="0.25">
      <c r="A73" s="19" t="s">
        <v>693</v>
      </c>
      <c r="B73" s="20" t="s">
        <v>694</v>
      </c>
      <c r="C73" s="21" t="s">
        <v>695</v>
      </c>
      <c r="D73" s="21" t="s">
        <v>463</v>
      </c>
      <c r="E73" s="21" t="s">
        <v>696</v>
      </c>
      <c r="F73" s="19">
        <v>61300</v>
      </c>
      <c r="G73" s="21" t="s">
        <v>697</v>
      </c>
      <c r="H73" s="42" t="s">
        <v>698</v>
      </c>
      <c r="I73" s="43"/>
      <c r="J73" s="43" t="s">
        <v>699</v>
      </c>
      <c r="K73" s="44" t="s">
        <v>256</v>
      </c>
      <c r="L73" s="21" t="s">
        <v>257</v>
      </c>
      <c r="M73" s="19">
        <f>_xlfn.XLOOKUP(tab_JA[[#This Row],[Code]],Rencontres_N3_PN_Rx[Code_JA],Rencontres_N3_PN_Rx[prest],0,0)</f>
        <v>0</v>
      </c>
      <c r="N73" s="19" t="s">
        <v>36</v>
      </c>
      <c r="O73" s="26"/>
      <c r="P73" s="27">
        <f>SUMIF(Rencontres_N3_PN_Rx[Code_JA],tab_JA[[#This Row],[Code]],Rencontres_N3_PN_Rx[Frais_JA])</f>
        <v>0</v>
      </c>
      <c r="W73" s="31" t="str">
        <f>IF(X73&lt;&gt;"",_xlfn.XLOOKUP(X73,tab_JA[Code],tab_JA[N_licence],"so"),"")</f>
        <v/>
      </c>
      <c r="X73" s="32"/>
      <c r="AA73" s="33" t="s">
        <v>2552</v>
      </c>
      <c r="AB73" s="33" t="s">
        <v>2552</v>
      </c>
      <c r="AC73" s="33" t="s">
        <v>2552</v>
      </c>
      <c r="AD73" s="34" t="str">
        <f>IF(X73&lt;&gt;"",SUMIF(Rencontres_N3_PN_Rx[Code_JA],X73,Rencontres_N3_PN_Rx[Frais_JA])-SUMIF(Rencontres_N3_PN_Rx[Code_JA],X73,Rencontres_N3_PN_Rx[frais defiscalisable]),"")</f>
        <v/>
      </c>
      <c r="AE73" s="121" t="str">
        <f>IF(X73&lt;&gt;"",SUMIF(Rencontres_N3_PN_Rx[Code_JA],X73,Rencontres_N3_PN_Rx[frais defiscalisable]),"")</f>
        <v/>
      </c>
    </row>
    <row r="74" spans="1:31" ht="15" customHeight="1" x14ac:dyDescent="0.25">
      <c r="A74" s="19" t="s">
        <v>736</v>
      </c>
      <c r="B74" s="20" t="s">
        <v>737</v>
      </c>
      <c r="C74" s="21" t="s">
        <v>738</v>
      </c>
      <c r="D74" s="21" t="s">
        <v>739</v>
      </c>
      <c r="E74" s="21" t="s">
        <v>740</v>
      </c>
      <c r="F74" s="19">
        <v>14000</v>
      </c>
      <c r="G74" s="21" t="s">
        <v>63</v>
      </c>
      <c r="H74" s="42" t="s">
        <v>741</v>
      </c>
      <c r="I74" s="43" t="s">
        <v>742</v>
      </c>
      <c r="J74" s="43" t="s">
        <v>743</v>
      </c>
      <c r="K74" s="44" t="s">
        <v>744</v>
      </c>
      <c r="L74" s="21" t="s">
        <v>745</v>
      </c>
      <c r="M74" s="19">
        <f>_xlfn.XLOOKUP(tab_JA[[#This Row],[Code]],Rencontres_N3_PN_Rx[Code_JA],Rencontres_N3_PN_Rx[prest],0,0)</f>
        <v>0</v>
      </c>
      <c r="N74" s="19" t="s">
        <v>36</v>
      </c>
      <c r="O74" s="26"/>
      <c r="P74" s="27">
        <f>SUMIF(Rencontres_N3_PN_Rx[Code_JA],tab_JA[[#This Row],[Code]],Rencontres_N3_PN_Rx[Frais_JA])</f>
        <v>0</v>
      </c>
      <c r="W74" s="31" t="str">
        <f>IF(X74&lt;&gt;"",_xlfn.XLOOKUP(X74,tab_JA[Code],tab_JA[N_licence],"so"),"")</f>
        <v/>
      </c>
      <c r="X74" s="32"/>
      <c r="AA74" s="33" t="s">
        <v>2552</v>
      </c>
      <c r="AB74" s="33" t="s">
        <v>2552</v>
      </c>
      <c r="AC74" s="33" t="s">
        <v>2552</v>
      </c>
      <c r="AD74" s="34" t="str">
        <f>IF(X74&lt;&gt;"",SUMIF(Rencontres_N3_PN_Rx[Code_JA],X74,Rencontres_N3_PN_Rx[Frais_JA])-SUMIF(Rencontres_N3_PN_Rx[Code_JA],X74,Rencontres_N3_PN_Rx[frais defiscalisable]),"")</f>
        <v/>
      </c>
      <c r="AE74" s="121" t="str">
        <f>IF(X74&lt;&gt;"",SUMIF(Rencontres_N3_PN_Rx[Code_JA],X74,Rencontres_N3_PN_Rx[frais defiscalisable]),"")</f>
        <v/>
      </c>
    </row>
    <row r="75" spans="1:31" ht="15" customHeight="1" x14ac:dyDescent="0.25">
      <c r="A75" s="19" t="s">
        <v>700</v>
      </c>
      <c r="B75" s="20" t="s">
        <v>701</v>
      </c>
      <c r="C75" s="21" t="s">
        <v>702</v>
      </c>
      <c r="D75" s="21" t="s">
        <v>463</v>
      </c>
      <c r="E75" s="21" t="s">
        <v>703</v>
      </c>
      <c r="F75" s="19">
        <v>50310</v>
      </c>
      <c r="G75" s="21" t="s">
        <v>704</v>
      </c>
      <c r="H75" s="42" t="s">
        <v>705</v>
      </c>
      <c r="I75" s="43"/>
      <c r="J75" s="43" t="s">
        <v>706</v>
      </c>
      <c r="K75" s="44" t="s">
        <v>707</v>
      </c>
      <c r="L75" s="21" t="s">
        <v>708</v>
      </c>
      <c r="M75" s="19">
        <f>_xlfn.XLOOKUP(tab_JA[[#This Row],[Code]],Rencontres_N3_PN_Rx[Code_JA],Rencontres_N3_PN_Rx[prest],0,0)</f>
        <v>0</v>
      </c>
      <c r="N75" s="19" t="s">
        <v>36</v>
      </c>
      <c r="O75" s="26"/>
      <c r="P75" s="27">
        <f>SUMIF(Rencontres_N3_PN_Rx[Code_JA],tab_JA[[#This Row],[Code]],Rencontres_N3_PN_Rx[Frais_JA])</f>
        <v>0</v>
      </c>
      <c r="W75" s="31" t="str">
        <f>IF(X75&lt;&gt;"",_xlfn.XLOOKUP(X75,tab_JA[Code],tab_JA[N_licence],"so"),"")</f>
        <v/>
      </c>
      <c r="X75" s="32"/>
      <c r="AA75" s="33" t="s">
        <v>2552</v>
      </c>
      <c r="AB75" s="33" t="s">
        <v>2552</v>
      </c>
      <c r="AC75" s="33" t="s">
        <v>2552</v>
      </c>
      <c r="AD75" s="34" t="str">
        <f>IF(X75&lt;&gt;"",SUMIF(Rencontres_N3_PN_Rx[Code_JA],X75,Rencontres_N3_PN_Rx[Frais_JA])-SUMIF(Rencontres_N3_PN_Rx[Code_JA],X75,Rencontres_N3_PN_Rx[frais defiscalisable]),"")</f>
        <v/>
      </c>
      <c r="AE75" s="121" t="str">
        <f>IF(X75&lt;&gt;"",SUMIF(Rencontres_N3_PN_Rx[Code_JA],X75,Rencontres_N3_PN_Rx[frais defiscalisable]),"")</f>
        <v/>
      </c>
    </row>
    <row r="76" spans="1:31" ht="15" customHeight="1" x14ac:dyDescent="0.25">
      <c r="A76" s="19" t="s">
        <v>709</v>
      </c>
      <c r="B76" s="20" t="s">
        <v>710</v>
      </c>
      <c r="C76" s="21" t="s">
        <v>711</v>
      </c>
      <c r="D76" s="21" t="s">
        <v>712</v>
      </c>
      <c r="E76" s="21" t="s">
        <v>713</v>
      </c>
      <c r="F76" s="19">
        <v>27170</v>
      </c>
      <c r="G76" s="21" t="s">
        <v>714</v>
      </c>
      <c r="H76" s="42" t="s">
        <v>715</v>
      </c>
      <c r="I76" s="43"/>
      <c r="J76" s="43" t="s">
        <v>716</v>
      </c>
      <c r="K76" s="44" t="s">
        <v>717</v>
      </c>
      <c r="L76" s="21" t="s">
        <v>718</v>
      </c>
      <c r="M76" s="19">
        <f>_xlfn.XLOOKUP(tab_JA[[#This Row],[Code]],Rencontres_N3_PN_Rx[Code_JA],Rencontres_N3_PN_Rx[prest],0,0)</f>
        <v>0</v>
      </c>
      <c r="N76" s="19" t="s">
        <v>36</v>
      </c>
      <c r="O76" s="26"/>
      <c r="P76" s="27">
        <f>SUMIF(Rencontres_N3_PN_Rx[Code_JA],tab_JA[[#This Row],[Code]],Rencontres_N3_PN_Rx[Frais_JA])</f>
        <v>0</v>
      </c>
      <c r="W76" s="31" t="str">
        <f>IF(X76&lt;&gt;"",_xlfn.XLOOKUP(X76,tab_JA[Code],tab_JA[N_licence],"so"),"")</f>
        <v/>
      </c>
      <c r="X76" s="32"/>
      <c r="AA76" s="33" t="s">
        <v>2552</v>
      </c>
      <c r="AB76" s="33" t="s">
        <v>2552</v>
      </c>
      <c r="AC76" s="33" t="s">
        <v>2552</v>
      </c>
      <c r="AD76" s="34" t="str">
        <f>IF(X76&lt;&gt;"",SUMIF(Rencontres_N3_PN_Rx[Code_JA],X76,Rencontres_N3_PN_Rx[Frais_JA])-SUMIF(Rencontres_N3_PN_Rx[Code_JA],X76,Rencontres_N3_PN_Rx[frais defiscalisable]),"")</f>
        <v/>
      </c>
      <c r="AE76" s="121" t="str">
        <f>IF(X76&lt;&gt;"",SUMIF(Rencontres_N3_PN_Rx[Code_JA],X76,Rencontres_N3_PN_Rx[frais defiscalisable]),"")</f>
        <v/>
      </c>
    </row>
    <row r="77" spans="1:31" ht="15" customHeight="1" x14ac:dyDescent="0.25">
      <c r="A77" s="19" t="s">
        <v>728</v>
      </c>
      <c r="B77" s="20" t="s">
        <v>729</v>
      </c>
      <c r="C77" s="21" t="s">
        <v>730</v>
      </c>
      <c r="D77" s="21" t="s">
        <v>389</v>
      </c>
      <c r="E77" s="21" t="s">
        <v>731</v>
      </c>
      <c r="F77" s="19">
        <v>50100</v>
      </c>
      <c r="G77" s="21" t="s">
        <v>732</v>
      </c>
      <c r="H77" s="42" t="s">
        <v>733</v>
      </c>
      <c r="I77" s="43"/>
      <c r="J77" s="43"/>
      <c r="K77" s="44" t="s">
        <v>734</v>
      </c>
      <c r="L77" s="21" t="s">
        <v>735</v>
      </c>
      <c r="M77" s="19">
        <f>_xlfn.XLOOKUP(tab_JA[[#This Row],[Code]],Rencontres_N3_PN_Rx[Code_JA],Rencontres_N3_PN_Rx[prest],0,0)</f>
        <v>0</v>
      </c>
      <c r="N77" s="19" t="s">
        <v>36</v>
      </c>
      <c r="O77" s="26"/>
      <c r="P77" s="27">
        <f>SUMIF(Rencontres_N3_PN_Rx[Code_JA],tab_JA[[#This Row],[Code]],Rencontres_N3_PN_Rx[Frais_JA])</f>
        <v>0</v>
      </c>
      <c r="W77" s="31" t="str">
        <f>IF(X77&lt;&gt;"",_xlfn.XLOOKUP(X77,tab_JA[Code],tab_JA[N_licence],"so"),"")</f>
        <v/>
      </c>
      <c r="X77" s="32"/>
      <c r="AA77" s="33" t="s">
        <v>2552</v>
      </c>
      <c r="AB77" s="33" t="s">
        <v>2552</v>
      </c>
      <c r="AC77" s="33" t="s">
        <v>2552</v>
      </c>
      <c r="AD77" s="34" t="str">
        <f>IF(X77&lt;&gt;"",SUMIF(Rencontres_N3_PN_Rx[Code_JA],X77,Rencontres_N3_PN_Rx[Frais_JA])-SUMIF(Rencontres_N3_PN_Rx[Code_JA],X77,Rencontres_N3_PN_Rx[frais defiscalisable]),"")</f>
        <v/>
      </c>
      <c r="AE77" s="121" t="str">
        <f>IF(X77&lt;&gt;"",SUMIF(Rencontres_N3_PN_Rx[Code_JA],X77,Rencontres_N3_PN_Rx[frais defiscalisable]),"")</f>
        <v/>
      </c>
    </row>
    <row r="78" spans="1:31" ht="15" customHeight="1" x14ac:dyDescent="0.25">
      <c r="A78" s="19" t="s">
        <v>719</v>
      </c>
      <c r="B78" s="20" t="s">
        <v>720</v>
      </c>
      <c r="C78" s="21" t="s">
        <v>721</v>
      </c>
      <c r="D78" s="21" t="s">
        <v>722</v>
      </c>
      <c r="E78" s="21" t="s">
        <v>723</v>
      </c>
      <c r="F78" s="19">
        <v>14840</v>
      </c>
      <c r="G78" s="21" t="s">
        <v>724</v>
      </c>
      <c r="H78" s="42" t="s">
        <v>725</v>
      </c>
      <c r="I78" s="43" t="s">
        <v>726</v>
      </c>
      <c r="J78" s="43" t="s">
        <v>727</v>
      </c>
      <c r="K78" s="44" t="s">
        <v>56</v>
      </c>
      <c r="L78" s="21" t="s">
        <v>57</v>
      </c>
      <c r="M78" s="19">
        <f>_xlfn.XLOOKUP(tab_JA[[#This Row],[Code]],Rencontres_N3_PN_Rx[Code_JA],Rencontres_N3_PN_Rx[prest],0,0)</f>
        <v>0</v>
      </c>
      <c r="N78" s="19" t="s">
        <v>36</v>
      </c>
      <c r="O78" s="26"/>
      <c r="P78" s="27">
        <f>SUMIF(Rencontres_N3_PN_Rx[Code_JA],tab_JA[[#This Row],[Code]],Rencontres_N3_PN_Rx[Frais_JA])</f>
        <v>0</v>
      </c>
      <c r="W78" s="31" t="str">
        <f>IF(X78&lt;&gt;"",_xlfn.XLOOKUP(X78,tab_JA[Code],tab_JA[N_licence],"so"),"")</f>
        <v/>
      </c>
      <c r="X78" s="32"/>
      <c r="AA78" s="33" t="s">
        <v>2552</v>
      </c>
      <c r="AB78" s="33" t="s">
        <v>2552</v>
      </c>
      <c r="AC78" s="33" t="s">
        <v>2552</v>
      </c>
      <c r="AD78" s="34" t="str">
        <f>IF(X78&lt;&gt;"",SUMIF(Rencontres_N3_PN_Rx[Code_JA],X78,Rencontres_N3_PN_Rx[Frais_JA])-SUMIF(Rencontres_N3_PN_Rx[Code_JA],X78,Rencontres_N3_PN_Rx[frais defiscalisable]),"")</f>
        <v/>
      </c>
      <c r="AE78" s="121" t="str">
        <f>IF(X78&lt;&gt;"",SUMIF(Rencontres_N3_PN_Rx[Code_JA],X78,Rencontres_N3_PN_Rx[frais defiscalisable]),"")</f>
        <v/>
      </c>
    </row>
    <row r="79" spans="1:31" ht="15" customHeight="1" x14ac:dyDescent="0.25">
      <c r="A79" s="19" t="s">
        <v>874</v>
      </c>
      <c r="B79" s="20" t="s">
        <v>875</v>
      </c>
      <c r="C79" s="21" t="s">
        <v>876</v>
      </c>
      <c r="D79" s="21" t="s">
        <v>877</v>
      </c>
      <c r="E79" s="21" t="s">
        <v>878</v>
      </c>
      <c r="F79" s="19">
        <v>76430</v>
      </c>
      <c r="G79" s="21" t="s">
        <v>879</v>
      </c>
      <c r="H79" s="42" t="s">
        <v>880</v>
      </c>
      <c r="I79" s="43" t="s">
        <v>881</v>
      </c>
      <c r="J79" s="43" t="s">
        <v>882</v>
      </c>
      <c r="K79" s="44" t="s">
        <v>634</v>
      </c>
      <c r="L79" s="21" t="s">
        <v>635</v>
      </c>
      <c r="M79" s="19">
        <f>_xlfn.XLOOKUP(tab_JA[[#This Row],[Code]],Rencontres_N3_PN_Rx[Code_JA],Rencontres_N3_PN_Rx[prest],0,0)</f>
        <v>0</v>
      </c>
      <c r="N79" s="19" t="s">
        <v>36</v>
      </c>
      <c r="O79" s="26"/>
      <c r="P79" s="27">
        <f>SUMIF(Rencontres_N3_PN_Rx[Code_JA],tab_JA[[#This Row],[Code]],Rencontres_N3_PN_Rx[Frais_JA])</f>
        <v>0</v>
      </c>
      <c r="W79" s="31" t="str">
        <f>IF(X79&lt;&gt;"",_xlfn.XLOOKUP(X79,tab_JA[Code],tab_JA[N_licence],"so"),"")</f>
        <v/>
      </c>
      <c r="X79" s="32"/>
      <c r="AA79" s="33" t="s">
        <v>2552</v>
      </c>
      <c r="AB79" s="33" t="s">
        <v>2552</v>
      </c>
      <c r="AC79" s="33" t="s">
        <v>2552</v>
      </c>
      <c r="AD79" s="34" t="str">
        <f>IF(X79&lt;&gt;"",SUMIF(Rencontres_N3_PN_Rx[Code_JA],X79,Rencontres_N3_PN_Rx[Frais_JA])-SUMIF(Rencontres_N3_PN_Rx[Code_JA],X79,Rencontres_N3_PN_Rx[frais defiscalisable]),"")</f>
        <v/>
      </c>
      <c r="AE79" s="121" t="str">
        <f>IF(X79&lt;&gt;"",SUMIF(Rencontres_N3_PN_Rx[Code_JA],X79,Rencontres_N3_PN_Rx[frais defiscalisable]),"")</f>
        <v/>
      </c>
    </row>
    <row r="80" spans="1:31" ht="15" customHeight="1" x14ac:dyDescent="0.25">
      <c r="A80" s="19" t="s">
        <v>839</v>
      </c>
      <c r="B80" s="20" t="s">
        <v>840</v>
      </c>
      <c r="C80" s="21" t="s">
        <v>841</v>
      </c>
      <c r="D80" s="21" t="s">
        <v>842</v>
      </c>
      <c r="E80" s="21" t="s">
        <v>843</v>
      </c>
      <c r="F80" s="19">
        <v>27780</v>
      </c>
      <c r="G80" s="21" t="s">
        <v>301</v>
      </c>
      <c r="H80" s="42" t="s">
        <v>844</v>
      </c>
      <c r="I80" s="43" t="s">
        <v>845</v>
      </c>
      <c r="J80" s="43" t="s">
        <v>846</v>
      </c>
      <c r="K80" s="44" t="s">
        <v>305</v>
      </c>
      <c r="L80" s="21" t="s">
        <v>306</v>
      </c>
      <c r="M80" s="19">
        <f>_xlfn.XLOOKUP(tab_JA[[#This Row],[Code]],Rencontres_N3_PN_Rx[Code_JA],Rencontres_N3_PN_Rx[prest],0,0)</f>
        <v>0</v>
      </c>
      <c r="N80" s="19" t="s">
        <v>36</v>
      </c>
      <c r="O80" s="26"/>
      <c r="P80" s="27">
        <f>SUMIF(Rencontres_N3_PN_Rx[Code_JA],tab_JA[[#This Row],[Code]],Rencontres_N3_PN_Rx[Frais_JA])</f>
        <v>0</v>
      </c>
      <c r="W80" s="31" t="str">
        <f>IF(X80&lt;&gt;"",_xlfn.XLOOKUP(X80,tab_JA[Code],tab_JA[N_licence],"so"),"")</f>
        <v/>
      </c>
      <c r="X80" s="32"/>
      <c r="AA80" s="33" t="s">
        <v>2552</v>
      </c>
      <c r="AB80" s="33" t="s">
        <v>2552</v>
      </c>
      <c r="AC80" s="33" t="s">
        <v>2552</v>
      </c>
      <c r="AD80" s="34" t="str">
        <f>IF(X80&lt;&gt;"",SUMIF(Rencontres_N3_PN_Rx[Code_JA],X80,Rencontres_N3_PN_Rx[Frais_JA])-SUMIF(Rencontres_N3_PN_Rx[Code_JA],X80,Rencontres_N3_PN_Rx[frais defiscalisable]),"")</f>
        <v/>
      </c>
      <c r="AE80" s="121" t="str">
        <f>IF(X80&lt;&gt;"",SUMIF(Rencontres_N3_PN_Rx[Code_JA],X80,Rencontres_N3_PN_Rx[frais defiscalisable]),"")</f>
        <v/>
      </c>
    </row>
    <row r="81" spans="1:31" ht="15" customHeight="1" x14ac:dyDescent="0.25">
      <c r="A81" s="19" t="s">
        <v>746</v>
      </c>
      <c r="B81" s="46" t="s">
        <v>747</v>
      </c>
      <c r="C81" s="21" t="s">
        <v>748</v>
      </c>
      <c r="D81" s="21" t="s">
        <v>749</v>
      </c>
      <c r="E81" s="21" t="s">
        <v>750</v>
      </c>
      <c r="F81" s="19">
        <v>28380</v>
      </c>
      <c r="G81" s="21" t="s">
        <v>751</v>
      </c>
      <c r="H81" s="42" t="s">
        <v>752</v>
      </c>
      <c r="I81" s="43"/>
      <c r="J81" s="43" t="s">
        <v>753</v>
      </c>
      <c r="K81" s="45" t="s">
        <v>754</v>
      </c>
      <c r="L81" s="21" t="s">
        <v>755</v>
      </c>
      <c r="M81" s="19">
        <f>_xlfn.XLOOKUP(tab_JA[[#This Row],[Code]],Rencontres_N3_PN_Rx[Code_JA],Rencontres_N3_PN_Rx[prest],0,0)</f>
        <v>0</v>
      </c>
      <c r="N81" s="19" t="s">
        <v>36</v>
      </c>
      <c r="O81" s="26"/>
      <c r="P81" s="27">
        <f>SUMIF(Rencontres_N3_PN_Rx[Code_JA],tab_JA[[#This Row],[Code]],Rencontres_N3_PN_Rx[Frais_JA])</f>
        <v>0</v>
      </c>
      <c r="W81" s="31" t="str">
        <f>IF(X81&lt;&gt;"",_xlfn.XLOOKUP(X81,tab_JA[Code],tab_JA[N_licence],"so"),"")</f>
        <v/>
      </c>
      <c r="X81" s="32"/>
      <c r="AA81" s="33" t="s">
        <v>2552</v>
      </c>
      <c r="AB81" s="33" t="s">
        <v>2552</v>
      </c>
      <c r="AC81" s="33" t="s">
        <v>2552</v>
      </c>
      <c r="AD81" s="34" t="str">
        <f>IF(X81&lt;&gt;"",SUMIF(Rencontres_N3_PN_Rx[Code_JA],X81,Rencontres_N3_PN_Rx[Frais_JA])-SUMIF(Rencontres_N3_PN_Rx[Code_JA],X81,Rencontres_N3_PN_Rx[frais defiscalisable]),"")</f>
        <v/>
      </c>
      <c r="AE81" s="121" t="str">
        <f>IF(X81&lt;&gt;"",SUMIF(Rencontres_N3_PN_Rx[Code_JA],X81,Rencontres_N3_PN_Rx[frais defiscalisable]),"")</f>
        <v/>
      </c>
    </row>
    <row r="82" spans="1:31" ht="15" customHeight="1" x14ac:dyDescent="0.25">
      <c r="A82" s="19" t="s">
        <v>787</v>
      </c>
      <c r="B82" s="20" t="s">
        <v>788</v>
      </c>
      <c r="C82" s="21" t="s">
        <v>789</v>
      </c>
      <c r="D82" s="21" t="s">
        <v>790</v>
      </c>
      <c r="E82" s="21" t="s">
        <v>791</v>
      </c>
      <c r="F82" s="19">
        <v>76150</v>
      </c>
      <c r="G82" s="21" t="s">
        <v>792</v>
      </c>
      <c r="H82" s="42" t="s">
        <v>793</v>
      </c>
      <c r="I82" s="43" t="s">
        <v>794</v>
      </c>
      <c r="J82" s="43" t="s">
        <v>795</v>
      </c>
      <c r="K82" s="44" t="s">
        <v>796</v>
      </c>
      <c r="L82" s="21" t="s">
        <v>797</v>
      </c>
      <c r="M82" s="19">
        <f>_xlfn.XLOOKUP(tab_JA[[#This Row],[Code]],Rencontres_N3_PN_Rx[Code_JA],Rencontres_N3_PN_Rx[prest],0,0)</f>
        <v>0</v>
      </c>
      <c r="N82" s="19" t="s">
        <v>36</v>
      </c>
      <c r="O82" s="26"/>
      <c r="P82" s="27">
        <f>SUMIF(Rencontres_N3_PN_Rx[Code_JA],tab_JA[[#This Row],[Code]],Rencontres_N3_PN_Rx[Frais_JA])</f>
        <v>0</v>
      </c>
      <c r="W82" s="31" t="str">
        <f>IF(X82&lt;&gt;"",_xlfn.XLOOKUP(X82,tab_JA[Code],tab_JA[N_licence],"so"),"")</f>
        <v/>
      </c>
      <c r="X82" s="32"/>
      <c r="AA82" s="33" t="s">
        <v>2552</v>
      </c>
      <c r="AB82" s="33" t="s">
        <v>2552</v>
      </c>
      <c r="AC82" s="33" t="s">
        <v>2552</v>
      </c>
      <c r="AD82" s="34" t="str">
        <f>IF(X82&lt;&gt;"",SUMIF(Rencontres_N3_PN_Rx[Code_JA],X82,Rencontres_N3_PN_Rx[Frais_JA])-SUMIF(Rencontres_N3_PN_Rx[Code_JA],X82,Rencontres_N3_PN_Rx[frais defiscalisable]),"")</f>
        <v/>
      </c>
      <c r="AE82" s="121" t="str">
        <f>IF(X82&lt;&gt;"",SUMIF(Rencontres_N3_PN_Rx[Code_JA],X82,Rencontres_N3_PN_Rx[frais defiscalisable]),"")</f>
        <v/>
      </c>
    </row>
    <row r="83" spans="1:31" ht="15" customHeight="1" x14ac:dyDescent="0.25">
      <c r="A83" s="19" t="s">
        <v>756</v>
      </c>
      <c r="B83" s="20" t="s">
        <v>757</v>
      </c>
      <c r="C83" s="21" t="s">
        <v>758</v>
      </c>
      <c r="D83" s="21" t="s">
        <v>759</v>
      </c>
      <c r="E83" s="21" t="s">
        <v>760</v>
      </c>
      <c r="F83" s="19">
        <v>50500</v>
      </c>
      <c r="G83" s="21" t="s">
        <v>761</v>
      </c>
      <c r="H83" s="42" t="s">
        <v>762</v>
      </c>
      <c r="I83" s="43" t="s">
        <v>763</v>
      </c>
      <c r="J83" s="43" t="s">
        <v>764</v>
      </c>
      <c r="K83" s="44" t="s">
        <v>765</v>
      </c>
      <c r="L83" s="21" t="s">
        <v>766</v>
      </c>
      <c r="M83" s="19">
        <f>_xlfn.XLOOKUP(tab_JA[[#This Row],[Code]],Rencontres_N3_PN_Rx[Code_JA],Rencontres_N3_PN_Rx[prest],0,0)</f>
        <v>1</v>
      </c>
      <c r="N83" s="19" t="s">
        <v>36</v>
      </c>
      <c r="O83" s="26"/>
      <c r="P83" s="27">
        <f>SUMIF(Rencontres_N3_PN_Rx[Code_JA],tab_JA[[#This Row],[Code]],Rencontres_N3_PN_Rx[Frais_JA])</f>
        <v>0</v>
      </c>
      <c r="W83" s="31" t="str">
        <f>IF(X83&lt;&gt;"",_xlfn.XLOOKUP(X83,tab_JA[Code],tab_JA[N_licence],"so"),"")</f>
        <v/>
      </c>
      <c r="X83" s="32"/>
      <c r="AA83" s="33" t="s">
        <v>2552</v>
      </c>
      <c r="AB83" s="33" t="s">
        <v>2552</v>
      </c>
      <c r="AC83" s="33" t="s">
        <v>2552</v>
      </c>
      <c r="AD83" s="34" t="str">
        <f>IF(X83&lt;&gt;"",SUMIF(Rencontres_N3_PN_Rx[Code_JA],X83,Rencontres_N3_PN_Rx[Frais_JA])-SUMIF(Rencontres_N3_PN_Rx[Code_JA],X83,Rencontres_N3_PN_Rx[frais defiscalisable]),"")</f>
        <v/>
      </c>
      <c r="AE83" s="121" t="str">
        <f>IF(X83&lt;&gt;"",SUMIF(Rencontres_N3_PN_Rx[Code_JA],X83,Rencontres_N3_PN_Rx[frais defiscalisable]),"")</f>
        <v/>
      </c>
    </row>
    <row r="84" spans="1:31" ht="15" customHeight="1" x14ac:dyDescent="0.25">
      <c r="A84" s="19" t="s">
        <v>3279</v>
      </c>
      <c r="B84" s="20" t="s">
        <v>798</v>
      </c>
      <c r="C84" s="21" t="s">
        <v>799</v>
      </c>
      <c r="D84" s="21" t="s">
        <v>82</v>
      </c>
      <c r="E84" s="21" t="s">
        <v>800</v>
      </c>
      <c r="F84" s="19">
        <v>14310</v>
      </c>
      <c r="G84" s="21" t="s">
        <v>801</v>
      </c>
      <c r="H84" s="42" t="s">
        <v>802</v>
      </c>
      <c r="I84" s="43" t="s">
        <v>803</v>
      </c>
      <c r="J84" s="43" t="s">
        <v>804</v>
      </c>
      <c r="K84" s="44" t="s">
        <v>586</v>
      </c>
      <c r="L84" s="21" t="s">
        <v>587</v>
      </c>
      <c r="M84" s="19">
        <f>_xlfn.XLOOKUP(tab_JA[[#This Row],[Code]],Rencontres_N3_PN_Rx[Code_JA],Rencontres_N3_PN_Rx[prest],0,0)</f>
        <v>0</v>
      </c>
      <c r="N84" s="19" t="s">
        <v>36</v>
      </c>
      <c r="O84" s="26"/>
      <c r="P84" s="27">
        <f>SUMIF(Rencontres_N3_PN_Rx[Code_JA],tab_JA[[#This Row],[Code]],Rencontres_N3_PN_Rx[Frais_JA])</f>
        <v>0</v>
      </c>
      <c r="W84" s="31" t="str">
        <f>IF(X84&lt;&gt;"",_xlfn.XLOOKUP(X84,tab_JA[Code],tab_JA[N_licence],"so"),"")</f>
        <v/>
      </c>
      <c r="X84" s="32"/>
      <c r="AA84" s="33" t="s">
        <v>2552</v>
      </c>
      <c r="AB84" s="33" t="s">
        <v>2552</v>
      </c>
      <c r="AC84" s="33" t="s">
        <v>2552</v>
      </c>
      <c r="AD84" s="34" t="str">
        <f>IF(X84&lt;&gt;"",SUMIF(Rencontres_N3_PN_Rx[Code_JA],X84,Rencontres_N3_PN_Rx[Frais_JA])-SUMIF(Rencontres_N3_PN_Rx[Code_JA],X84,Rencontres_N3_PN_Rx[frais defiscalisable]),"")</f>
        <v/>
      </c>
      <c r="AE84" s="121" t="str">
        <f>IF(X84&lt;&gt;"",SUMIF(Rencontres_N3_PN_Rx[Code_JA],X84,Rencontres_N3_PN_Rx[frais defiscalisable]),"")</f>
        <v/>
      </c>
    </row>
    <row r="85" spans="1:31" ht="15" customHeight="1" x14ac:dyDescent="0.25">
      <c r="A85" s="19" t="s">
        <v>767</v>
      </c>
      <c r="B85" s="46" t="s">
        <v>768</v>
      </c>
      <c r="C85" s="21" t="s">
        <v>769</v>
      </c>
      <c r="D85" s="21" t="s">
        <v>770</v>
      </c>
      <c r="E85" s="21" t="s">
        <v>771</v>
      </c>
      <c r="F85" s="19">
        <v>76116</v>
      </c>
      <c r="G85" s="21" t="s">
        <v>772</v>
      </c>
      <c r="H85" s="42" t="s">
        <v>773</v>
      </c>
      <c r="I85" s="43"/>
      <c r="J85" s="43" t="s">
        <v>774</v>
      </c>
      <c r="K85" s="45" t="s">
        <v>775</v>
      </c>
      <c r="L85" s="21" t="s">
        <v>776</v>
      </c>
      <c r="M85" s="19">
        <f>_xlfn.XLOOKUP(tab_JA[[#This Row],[Code]],Rencontres_N3_PN_Rx[Code_JA],Rencontres_N3_PN_Rx[prest],0,0)</f>
        <v>0</v>
      </c>
      <c r="N85" s="19" t="s">
        <v>36</v>
      </c>
      <c r="O85" s="26"/>
      <c r="P85" s="27">
        <f>SUMIF(Rencontres_N3_PN_Rx[Code_JA],tab_JA[[#This Row],[Code]],Rencontres_N3_PN_Rx[Frais_JA])</f>
        <v>0</v>
      </c>
      <c r="W85" s="31" t="str">
        <f>IF(X85&lt;&gt;"",_xlfn.XLOOKUP(X85,tab_JA[Code],tab_JA[N_licence],"so"),"")</f>
        <v/>
      </c>
      <c r="X85" s="32"/>
      <c r="AA85" s="33" t="s">
        <v>2552</v>
      </c>
      <c r="AB85" s="33" t="s">
        <v>2552</v>
      </c>
      <c r="AC85" s="33" t="s">
        <v>2552</v>
      </c>
      <c r="AD85" s="34" t="str">
        <f>IF(X85&lt;&gt;"",SUMIF(Rencontres_N3_PN_Rx[Code_JA],X85,Rencontres_N3_PN_Rx[Frais_JA])-SUMIF(Rencontres_N3_PN_Rx[Code_JA],X85,Rencontres_N3_PN_Rx[frais defiscalisable]),"")</f>
        <v/>
      </c>
      <c r="AE85" s="121" t="str">
        <f>IF(X85&lt;&gt;"",SUMIF(Rencontres_N3_PN_Rx[Code_JA],X85,Rencontres_N3_PN_Rx[frais defiscalisable]),"")</f>
        <v/>
      </c>
    </row>
    <row r="86" spans="1:31" ht="15" customHeight="1" x14ac:dyDescent="0.25">
      <c r="A86" s="19" t="s">
        <v>3283</v>
      </c>
      <c r="B86" s="20" t="s">
        <v>883</v>
      </c>
      <c r="C86" s="21" t="s">
        <v>884</v>
      </c>
      <c r="D86" s="21" t="s">
        <v>885</v>
      </c>
      <c r="E86" s="21" t="s">
        <v>886</v>
      </c>
      <c r="F86" s="19">
        <v>76160</v>
      </c>
      <c r="G86" s="21" t="s">
        <v>887</v>
      </c>
      <c r="H86" s="42" t="s">
        <v>888</v>
      </c>
      <c r="I86" s="43"/>
      <c r="J86" s="43" t="s">
        <v>889</v>
      </c>
      <c r="K86" s="44" t="s">
        <v>775</v>
      </c>
      <c r="L86" s="21" t="s">
        <v>776</v>
      </c>
      <c r="M86" s="19">
        <f>_xlfn.XLOOKUP(tab_JA[[#This Row],[Code]],Rencontres_N3_PN_Rx[Code_JA],Rencontres_N3_PN_Rx[prest],0,0)</f>
        <v>0</v>
      </c>
      <c r="N86" s="19" t="s">
        <v>36</v>
      </c>
      <c r="O86" s="26"/>
      <c r="P86" s="27">
        <f>SUMIF(Rencontres_N3_PN_Rx[Code_JA],tab_JA[[#This Row],[Code]],Rencontres_N3_PN_Rx[Frais_JA])</f>
        <v>0</v>
      </c>
      <c r="W86" s="31" t="str">
        <f>IF(X86&lt;&gt;"",_xlfn.XLOOKUP(X86,tab_JA[Code],tab_JA[N_licence],"so"),"")</f>
        <v/>
      </c>
      <c r="X86" s="32"/>
      <c r="AA86" s="33" t="s">
        <v>2552</v>
      </c>
      <c r="AB86" s="33" t="s">
        <v>2552</v>
      </c>
      <c r="AC86" s="33" t="s">
        <v>2552</v>
      </c>
      <c r="AD86" s="34" t="str">
        <f>IF(X86&lt;&gt;"",SUMIF(Rencontres_N3_PN_Rx[Code_JA],X86,Rencontres_N3_PN_Rx[Frais_JA])-SUMIF(Rencontres_N3_PN_Rx[Code_JA],X86,Rencontres_N3_PN_Rx[frais defiscalisable]),"")</f>
        <v/>
      </c>
      <c r="AE86" s="121" t="str">
        <f>IF(X86&lt;&gt;"",SUMIF(Rencontres_N3_PN_Rx[Code_JA],X86,Rencontres_N3_PN_Rx[frais defiscalisable]),"")</f>
        <v/>
      </c>
    </row>
    <row r="87" spans="1:31" ht="15" customHeight="1" x14ac:dyDescent="0.25">
      <c r="A87" s="19" t="s">
        <v>3282</v>
      </c>
      <c r="B87" s="20" t="s">
        <v>866</v>
      </c>
      <c r="C87" s="21" t="s">
        <v>867</v>
      </c>
      <c r="D87" s="21" t="s">
        <v>868</v>
      </c>
      <c r="E87" s="21" t="s">
        <v>869</v>
      </c>
      <c r="F87" s="19">
        <v>61270</v>
      </c>
      <c r="G87" s="21" t="s">
        <v>870</v>
      </c>
      <c r="H87" s="42" t="s">
        <v>871</v>
      </c>
      <c r="I87" s="43" t="s">
        <v>872</v>
      </c>
      <c r="J87" s="43" t="s">
        <v>873</v>
      </c>
      <c r="K87" s="44" t="s">
        <v>256</v>
      </c>
      <c r="L87" s="21" t="s">
        <v>257</v>
      </c>
      <c r="M87" s="19">
        <f>_xlfn.XLOOKUP(tab_JA[[#This Row],[Code]],Rencontres_N3_PN_Rx[Code_JA],Rencontres_N3_PN_Rx[prest],0,0)</f>
        <v>0</v>
      </c>
      <c r="N87" s="19" t="s">
        <v>36</v>
      </c>
      <c r="O87" s="26"/>
      <c r="P87" s="27">
        <f>SUMIF(Rencontres_N3_PN_Rx[Code_JA],tab_JA[[#This Row],[Code]],Rencontres_N3_PN_Rx[Frais_JA])</f>
        <v>0</v>
      </c>
      <c r="W87" s="31" t="str">
        <f>IF(X87&lt;&gt;"",_xlfn.XLOOKUP(X87,tab_JA[Code],tab_JA[N_licence],"so"),"")</f>
        <v/>
      </c>
      <c r="X87" s="32"/>
      <c r="AA87" s="33" t="s">
        <v>2552</v>
      </c>
      <c r="AB87" s="33" t="s">
        <v>2552</v>
      </c>
      <c r="AC87" s="33" t="s">
        <v>2552</v>
      </c>
      <c r="AD87" s="34" t="str">
        <f>IF(X87&lt;&gt;"",SUMIF(Rencontres_N3_PN_Rx[Code_JA],X87,Rencontres_N3_PN_Rx[Frais_JA])-SUMIF(Rencontres_N3_PN_Rx[Code_JA],X87,Rencontres_N3_PN_Rx[frais defiscalisable]),"")</f>
        <v/>
      </c>
      <c r="AE87" s="121" t="str">
        <f>IF(X87&lt;&gt;"",SUMIF(Rencontres_N3_PN_Rx[Code_JA],X87,Rencontres_N3_PN_Rx[frais defiscalisable]),"")</f>
        <v/>
      </c>
    </row>
    <row r="88" spans="1:31" ht="15" customHeight="1" x14ac:dyDescent="0.25">
      <c r="A88" s="19" t="s">
        <v>3278</v>
      </c>
      <c r="B88" s="20" t="s">
        <v>777</v>
      </c>
      <c r="C88" s="21" t="s">
        <v>778</v>
      </c>
      <c r="D88" s="21" t="s">
        <v>779</v>
      </c>
      <c r="E88" s="21" t="s">
        <v>780</v>
      </c>
      <c r="F88" s="19">
        <v>76240</v>
      </c>
      <c r="G88" s="21" t="s">
        <v>781</v>
      </c>
      <c r="H88" s="42" t="s">
        <v>782</v>
      </c>
      <c r="I88" s="43" t="s">
        <v>783</v>
      </c>
      <c r="J88" s="43" t="s">
        <v>784</v>
      </c>
      <c r="K88" s="44" t="s">
        <v>785</v>
      </c>
      <c r="L88" s="21" t="s">
        <v>786</v>
      </c>
      <c r="M88" s="19">
        <f>_xlfn.XLOOKUP(tab_JA[[#This Row],[Code]],Rencontres_N3_PN_Rx[Code_JA],Rencontres_N3_PN_Rx[prest],0,0)</f>
        <v>0</v>
      </c>
      <c r="N88" s="19" t="s">
        <v>36</v>
      </c>
      <c r="O88" s="26"/>
      <c r="P88" s="27">
        <f>SUMIF(Rencontres_N3_PN_Rx[Code_JA],tab_JA[[#This Row],[Code]],Rencontres_N3_PN_Rx[Frais_JA])</f>
        <v>0</v>
      </c>
      <c r="W88" s="31" t="str">
        <f>IF(X88&lt;&gt;"",_xlfn.XLOOKUP(X88,tab_JA[Code],tab_JA[N_licence],"so"),"")</f>
        <v/>
      </c>
      <c r="X88" s="32"/>
      <c r="AA88" s="33" t="s">
        <v>2552</v>
      </c>
      <c r="AB88" s="33" t="s">
        <v>2552</v>
      </c>
      <c r="AC88" s="33" t="s">
        <v>2552</v>
      </c>
      <c r="AD88" s="34" t="str">
        <f>IF(X88&lt;&gt;"",SUMIF(Rencontres_N3_PN_Rx[Code_JA],X88,Rencontres_N3_PN_Rx[Frais_JA])-SUMIF(Rencontres_N3_PN_Rx[Code_JA],X88,Rencontres_N3_PN_Rx[frais defiscalisable]),"")</f>
        <v/>
      </c>
      <c r="AE88" s="121" t="str">
        <f>IF(X88&lt;&gt;"",SUMIF(Rencontres_N3_PN_Rx[Code_JA],X88,Rencontres_N3_PN_Rx[frais defiscalisable]),"")</f>
        <v/>
      </c>
    </row>
    <row r="89" spans="1:31" ht="15" customHeight="1" x14ac:dyDescent="0.25">
      <c r="A89" s="19" t="s">
        <v>3281</v>
      </c>
      <c r="B89" s="20" t="s">
        <v>847</v>
      </c>
      <c r="C89" s="21" t="s">
        <v>848</v>
      </c>
      <c r="D89" s="21" t="s">
        <v>849</v>
      </c>
      <c r="E89" s="21" t="s">
        <v>850</v>
      </c>
      <c r="F89" s="19">
        <v>50130</v>
      </c>
      <c r="G89" s="21" t="s">
        <v>170</v>
      </c>
      <c r="H89" s="42" t="s">
        <v>851</v>
      </c>
      <c r="I89" s="43" t="s">
        <v>852</v>
      </c>
      <c r="J89" s="43" t="s">
        <v>853</v>
      </c>
      <c r="K89" s="44" t="s">
        <v>854</v>
      </c>
      <c r="L89" s="21" t="s">
        <v>855</v>
      </c>
      <c r="M89" s="19">
        <f>_xlfn.XLOOKUP(tab_JA[[#This Row],[Code]],Rencontres_N3_PN_Rx[Code_JA],Rencontres_N3_PN_Rx[prest],0,0)</f>
        <v>4</v>
      </c>
      <c r="N89" s="19" t="s">
        <v>36</v>
      </c>
      <c r="O89" s="26"/>
      <c r="P89" s="27">
        <f>SUMIF(Rencontres_N3_PN_Rx[Code_JA],tab_JA[[#This Row],[Code]],Rencontres_N3_PN_Rx[Frais_JA])</f>
        <v>0</v>
      </c>
      <c r="W89" s="31" t="str">
        <f>IF(X89&lt;&gt;"",_xlfn.XLOOKUP(X89,tab_JA[Code],tab_JA[N_licence],"so"),"")</f>
        <v/>
      </c>
      <c r="X89" s="32"/>
      <c r="AA89" s="33" t="s">
        <v>2552</v>
      </c>
      <c r="AB89" s="33" t="s">
        <v>2552</v>
      </c>
      <c r="AC89" s="33" t="s">
        <v>2552</v>
      </c>
      <c r="AD89" s="34" t="str">
        <f>IF(X89&lt;&gt;"",SUMIF(Rencontres_N3_PN_Rx[Code_JA],X89,Rencontres_N3_PN_Rx[Frais_JA])-SUMIF(Rencontres_N3_PN_Rx[Code_JA],X89,Rencontres_N3_PN_Rx[frais defiscalisable]),"")</f>
        <v/>
      </c>
      <c r="AE89" s="121" t="str">
        <f>IF(X89&lt;&gt;"",SUMIF(Rencontres_N3_PN_Rx[Code_JA],X89,Rencontres_N3_PN_Rx[frais defiscalisable]),"")</f>
        <v/>
      </c>
    </row>
    <row r="90" spans="1:31" ht="15" customHeight="1" x14ac:dyDescent="0.25">
      <c r="A90" s="19" t="s">
        <v>831</v>
      </c>
      <c r="B90" s="20" t="s">
        <v>832</v>
      </c>
      <c r="C90" s="21" t="s">
        <v>833</v>
      </c>
      <c r="D90" s="21" t="s">
        <v>834</v>
      </c>
      <c r="E90" s="21" t="s">
        <v>835</v>
      </c>
      <c r="F90" s="19">
        <v>50540</v>
      </c>
      <c r="G90" s="21" t="s">
        <v>836</v>
      </c>
      <c r="H90" s="42" t="s">
        <v>837</v>
      </c>
      <c r="I90" s="43"/>
      <c r="J90" s="43" t="s">
        <v>838</v>
      </c>
      <c r="K90" s="44" t="s">
        <v>145</v>
      </c>
      <c r="L90" s="21" t="s">
        <v>146</v>
      </c>
      <c r="M90" s="19">
        <f>_xlfn.XLOOKUP(tab_JA[[#This Row],[Code]],Rencontres_N3_PN_Rx[Code_JA],Rencontres_N3_PN_Rx[prest],0,0)</f>
        <v>2</v>
      </c>
      <c r="N90" s="19" t="s">
        <v>36</v>
      </c>
      <c r="O90" s="26"/>
      <c r="P90" s="27">
        <f>SUMIF(Rencontres_N3_PN_Rx[Code_JA],tab_JA[[#This Row],[Code]],Rencontres_N3_PN_Rx[Frais_JA])</f>
        <v>87.8</v>
      </c>
      <c r="W90" s="31" t="str">
        <f>IF(X90&lt;&gt;"",_xlfn.XLOOKUP(X90,tab_JA[Code],tab_JA[N_licence],"so"),"")</f>
        <v/>
      </c>
      <c r="X90" s="32"/>
      <c r="AA90" s="33" t="s">
        <v>2552</v>
      </c>
      <c r="AB90" s="33" t="s">
        <v>2552</v>
      </c>
      <c r="AC90" s="33" t="s">
        <v>2552</v>
      </c>
      <c r="AD90" s="34" t="str">
        <f>IF(X90&lt;&gt;"",SUMIF(Rencontres_N3_PN_Rx[Code_JA],X90,Rencontres_N3_PN_Rx[Frais_JA])-SUMIF(Rencontres_N3_PN_Rx[Code_JA],X90,Rencontres_N3_PN_Rx[frais defiscalisable]),"")</f>
        <v/>
      </c>
      <c r="AE90" s="121" t="str">
        <f>IF(X90&lt;&gt;"",SUMIF(Rencontres_N3_PN_Rx[Code_JA],X90,Rencontres_N3_PN_Rx[frais defiscalisable]),"")</f>
        <v/>
      </c>
    </row>
    <row r="91" spans="1:31" ht="15" customHeight="1" x14ac:dyDescent="0.25">
      <c r="A91" s="19" t="s">
        <v>815</v>
      </c>
      <c r="B91" s="20" t="s">
        <v>816</v>
      </c>
      <c r="C91" s="21" t="s">
        <v>817</v>
      </c>
      <c r="D91" s="21" t="s">
        <v>818</v>
      </c>
      <c r="E91" s="21" t="s">
        <v>819</v>
      </c>
      <c r="F91" s="19">
        <v>14420</v>
      </c>
      <c r="G91" s="21" t="s">
        <v>820</v>
      </c>
      <c r="H91" s="42" t="s">
        <v>821</v>
      </c>
      <c r="I91" s="43"/>
      <c r="J91" s="43" t="s">
        <v>822</v>
      </c>
      <c r="K91" s="44" t="s">
        <v>823</v>
      </c>
      <c r="L91" s="21" t="s">
        <v>824</v>
      </c>
      <c r="M91" s="19">
        <f>_xlfn.XLOOKUP(tab_JA[[#This Row],[Code]],Rencontres_N3_PN_Rx[Code_JA],Rencontres_N3_PN_Rx[prest],0,0)</f>
        <v>0</v>
      </c>
      <c r="N91" s="19" t="s">
        <v>36</v>
      </c>
      <c r="O91" s="26"/>
      <c r="P91" s="27">
        <f>SUMIF(Rencontres_N3_PN_Rx[Code_JA],tab_JA[[#This Row],[Code]],Rencontres_N3_PN_Rx[Frais_JA])</f>
        <v>0</v>
      </c>
      <c r="W91" s="31" t="str">
        <f>IF(X91&lt;&gt;"",_xlfn.XLOOKUP(X91,tab_JA[Code],tab_JA[N_licence],"so"),"")</f>
        <v/>
      </c>
      <c r="X91" s="32"/>
      <c r="AA91" s="33" t="s">
        <v>2552</v>
      </c>
      <c r="AB91" s="33" t="s">
        <v>2552</v>
      </c>
      <c r="AC91" s="33" t="s">
        <v>2552</v>
      </c>
      <c r="AD91" s="34" t="str">
        <f>IF(X91&lt;&gt;"",SUMIF(Rencontres_N3_PN_Rx[Code_JA],X91,Rencontres_N3_PN_Rx[Frais_JA])-SUMIF(Rencontres_N3_PN_Rx[Code_JA],X91,Rencontres_N3_PN_Rx[frais defiscalisable]),"")</f>
        <v/>
      </c>
      <c r="AE91" s="121" t="str">
        <f>IF(X91&lt;&gt;"",SUMIF(Rencontres_N3_PN_Rx[Code_JA],X91,Rencontres_N3_PN_Rx[frais defiscalisable]),"")</f>
        <v/>
      </c>
    </row>
    <row r="92" spans="1:31" ht="15" customHeight="1" x14ac:dyDescent="0.25">
      <c r="A92" s="19" t="s">
        <v>856</v>
      </c>
      <c r="B92" s="20" t="s">
        <v>857</v>
      </c>
      <c r="C92" s="21" t="s">
        <v>858</v>
      </c>
      <c r="D92" s="21" t="s">
        <v>859</v>
      </c>
      <c r="E92" s="21" t="s">
        <v>860</v>
      </c>
      <c r="F92" s="19">
        <v>14860</v>
      </c>
      <c r="G92" s="21" t="s">
        <v>861</v>
      </c>
      <c r="H92" s="42" t="s">
        <v>862</v>
      </c>
      <c r="I92" s="43"/>
      <c r="J92" s="43" t="s">
        <v>863</v>
      </c>
      <c r="K92" s="44" t="s">
        <v>864</v>
      </c>
      <c r="L92" s="21" t="s">
        <v>865</v>
      </c>
      <c r="M92" s="19">
        <f>_xlfn.XLOOKUP(tab_JA[[#This Row],[Code]],Rencontres_N3_PN_Rx[Code_JA],Rencontres_N3_PN_Rx[prest],0,0)</f>
        <v>0</v>
      </c>
      <c r="N92" s="19" t="s">
        <v>36</v>
      </c>
      <c r="O92" s="26"/>
      <c r="P92" s="27">
        <f>SUMIF(Rencontres_N3_PN_Rx[Code_JA],tab_JA[[#This Row],[Code]],Rencontres_N3_PN_Rx[Frais_JA])</f>
        <v>0</v>
      </c>
      <c r="W92" s="31" t="str">
        <f>IF(X92&lt;&gt;"",_xlfn.XLOOKUP(X92,tab_JA[Code],tab_JA[N_licence],"so"),"")</f>
        <v/>
      </c>
      <c r="X92" s="32"/>
      <c r="AA92" s="33" t="s">
        <v>2552</v>
      </c>
      <c r="AB92" s="33" t="s">
        <v>2552</v>
      </c>
      <c r="AC92" s="33" t="s">
        <v>2552</v>
      </c>
      <c r="AD92" s="34" t="str">
        <f>IF(X92&lt;&gt;"",SUMIF(Rencontres_N3_PN_Rx[Code_JA],X92,Rencontres_N3_PN_Rx[Frais_JA])-SUMIF(Rencontres_N3_PN_Rx[Code_JA],X92,Rencontres_N3_PN_Rx[frais defiscalisable]),"")</f>
        <v/>
      </c>
      <c r="AE92" s="121" t="str">
        <f>IF(X92&lt;&gt;"",SUMIF(Rencontres_N3_PN_Rx[Code_JA],X92,Rencontres_N3_PN_Rx[frais defiscalisable]),"")</f>
        <v/>
      </c>
    </row>
    <row r="93" spans="1:31" ht="15" customHeight="1" x14ac:dyDescent="0.25">
      <c r="A93" s="19" t="s">
        <v>890</v>
      </c>
      <c r="B93" s="20" t="s">
        <v>891</v>
      </c>
      <c r="C93" s="21" t="s">
        <v>892</v>
      </c>
      <c r="D93" s="21" t="s">
        <v>893</v>
      </c>
      <c r="E93" s="21" t="s">
        <v>894</v>
      </c>
      <c r="F93" s="19">
        <v>76500</v>
      </c>
      <c r="G93" s="21" t="s">
        <v>895</v>
      </c>
      <c r="H93" s="42" t="s">
        <v>896</v>
      </c>
      <c r="I93" s="43" t="s">
        <v>897</v>
      </c>
      <c r="J93" s="43" t="s">
        <v>897</v>
      </c>
      <c r="K93" s="44" t="s">
        <v>414</v>
      </c>
      <c r="L93" s="21" t="s">
        <v>415</v>
      </c>
      <c r="M93" s="19">
        <f>_xlfn.XLOOKUP(tab_JA[[#This Row],[Code]],Rencontres_N3_PN_Rx[Code_JA],Rencontres_N3_PN_Rx[prest],0,0)</f>
        <v>0</v>
      </c>
      <c r="N93" s="19" t="s">
        <v>36</v>
      </c>
      <c r="O93" s="26"/>
      <c r="P93" s="27">
        <f>SUMIF(Rencontres_N3_PN_Rx[Code_JA],tab_JA[[#This Row],[Code]],Rencontres_N3_PN_Rx[Frais_JA])</f>
        <v>0</v>
      </c>
      <c r="W93" s="31" t="str">
        <f>IF(X93&lt;&gt;"",_xlfn.XLOOKUP(X93,tab_JA[Code],tab_JA[N_licence],"so"),"")</f>
        <v/>
      </c>
      <c r="X93" s="32"/>
      <c r="AA93" s="33" t="s">
        <v>2552</v>
      </c>
      <c r="AB93" s="33" t="s">
        <v>2552</v>
      </c>
      <c r="AC93" s="33" t="s">
        <v>2552</v>
      </c>
      <c r="AD93" s="34" t="str">
        <f>IF(X93&lt;&gt;"",SUMIF(Rencontres_N3_PN_Rx[Code_JA],X93,Rencontres_N3_PN_Rx[Frais_JA])-SUMIF(Rencontres_N3_PN_Rx[Code_JA],X93,Rencontres_N3_PN_Rx[frais defiscalisable]),"")</f>
        <v/>
      </c>
      <c r="AE93" s="121" t="str">
        <f>IF(X93&lt;&gt;"",SUMIF(Rencontres_N3_PN_Rx[Code_JA],X93,Rencontres_N3_PN_Rx[frais defiscalisable]),"")</f>
        <v/>
      </c>
    </row>
    <row r="94" spans="1:31" ht="15" customHeight="1" x14ac:dyDescent="0.25">
      <c r="A94" s="19" t="s">
        <v>3280</v>
      </c>
      <c r="B94" s="20" t="s">
        <v>825</v>
      </c>
      <c r="C94" s="21" t="s">
        <v>826</v>
      </c>
      <c r="D94" s="21" t="s">
        <v>61</v>
      </c>
      <c r="E94" s="21" t="s">
        <v>827</v>
      </c>
      <c r="F94" s="19">
        <v>76610</v>
      </c>
      <c r="G94" s="21" t="s">
        <v>828</v>
      </c>
      <c r="H94" s="42" t="s">
        <v>829</v>
      </c>
      <c r="I94" s="43"/>
      <c r="J94" s="43" t="s">
        <v>830</v>
      </c>
      <c r="K94" s="44" t="s">
        <v>450</v>
      </c>
      <c r="L94" s="21" t="s">
        <v>451</v>
      </c>
      <c r="M94" s="19">
        <f>_xlfn.XLOOKUP(tab_JA[[#This Row],[Code]],Rencontres_N3_PN_Rx[Code_JA],Rencontres_N3_PN_Rx[prest],0,0)</f>
        <v>0</v>
      </c>
      <c r="N94" s="19" t="s">
        <v>36</v>
      </c>
      <c r="O94" s="26"/>
      <c r="P94" s="27">
        <f>SUMIF(Rencontres_N3_PN_Rx[Code_JA],tab_JA[[#This Row],[Code]],Rencontres_N3_PN_Rx[Frais_JA])</f>
        <v>0</v>
      </c>
      <c r="W94" s="31" t="str">
        <f>IF(X94&lt;&gt;"",_xlfn.XLOOKUP(X94,tab_JA[Code],tab_JA[N_licence],"so"),"")</f>
        <v/>
      </c>
      <c r="X94" s="32"/>
      <c r="AA94" s="33" t="s">
        <v>2552</v>
      </c>
      <c r="AB94" s="33" t="s">
        <v>2552</v>
      </c>
      <c r="AC94" s="33" t="s">
        <v>2552</v>
      </c>
      <c r="AD94" s="34" t="str">
        <f>IF(X94&lt;&gt;"",SUMIF(Rencontres_N3_PN_Rx[Code_JA],X94,Rencontres_N3_PN_Rx[Frais_JA])-SUMIF(Rencontres_N3_PN_Rx[Code_JA],X94,Rencontres_N3_PN_Rx[frais defiscalisable]),"")</f>
        <v/>
      </c>
      <c r="AE94" s="121" t="str">
        <f>IF(X94&lt;&gt;"",SUMIF(Rencontres_N3_PN_Rx[Code_JA],X94,Rencontres_N3_PN_Rx[frais defiscalisable]),"")</f>
        <v/>
      </c>
    </row>
    <row r="95" spans="1:31" ht="15" customHeight="1" x14ac:dyDescent="0.25">
      <c r="A95" s="19" t="s">
        <v>898</v>
      </c>
      <c r="B95" s="20" t="s">
        <v>899</v>
      </c>
      <c r="C95" s="21" t="s">
        <v>900</v>
      </c>
      <c r="D95" s="21" t="s">
        <v>61</v>
      </c>
      <c r="E95" s="21" t="s">
        <v>901</v>
      </c>
      <c r="F95" s="19">
        <v>61250</v>
      </c>
      <c r="G95" s="21" t="s">
        <v>902</v>
      </c>
      <c r="H95" s="42" t="s">
        <v>903</v>
      </c>
      <c r="I95" s="43" t="s">
        <v>904</v>
      </c>
      <c r="J95" s="43" t="s">
        <v>905</v>
      </c>
      <c r="K95" s="44" t="s">
        <v>906</v>
      </c>
      <c r="L95" s="21" t="s">
        <v>907</v>
      </c>
      <c r="M95" s="19">
        <f>_xlfn.XLOOKUP(tab_JA[[#This Row],[Code]],Rencontres_N3_PN_Rx[Code_JA],Rencontres_N3_PN_Rx[prest],0,0)</f>
        <v>0</v>
      </c>
      <c r="N95" s="19" t="s">
        <v>36</v>
      </c>
      <c r="O95" s="26"/>
      <c r="P95" s="27">
        <f>SUMIF(Rencontres_N3_PN_Rx[Code_JA],tab_JA[[#This Row],[Code]],Rencontres_N3_PN_Rx[Frais_JA])</f>
        <v>0</v>
      </c>
      <c r="W95" s="31" t="str">
        <f>IF(X95&lt;&gt;"",_xlfn.XLOOKUP(X95,tab_JA[Code],tab_JA[N_licence],"so"),"")</f>
        <v/>
      </c>
      <c r="X95" s="32"/>
      <c r="AA95" s="33" t="s">
        <v>2552</v>
      </c>
      <c r="AB95" s="33" t="s">
        <v>2552</v>
      </c>
      <c r="AC95" s="33" t="s">
        <v>2552</v>
      </c>
      <c r="AD95" s="34" t="str">
        <f>IF(X95&lt;&gt;"",SUMIF(Rencontres_N3_PN_Rx[Code_JA],X95,Rencontres_N3_PN_Rx[Frais_JA])-SUMIF(Rencontres_N3_PN_Rx[Code_JA],X95,Rencontres_N3_PN_Rx[frais defiscalisable]),"")</f>
        <v/>
      </c>
      <c r="AE95" s="121" t="str">
        <f>IF(X95&lt;&gt;"",SUMIF(Rencontres_N3_PN_Rx[Code_JA],X95,Rencontres_N3_PN_Rx[frais defiscalisable]),"")</f>
        <v/>
      </c>
    </row>
    <row r="96" spans="1:31" ht="15" customHeight="1" x14ac:dyDescent="0.25">
      <c r="A96" s="19" t="s">
        <v>805</v>
      </c>
      <c r="B96" s="46" t="s">
        <v>806</v>
      </c>
      <c r="C96" s="21" t="s">
        <v>807</v>
      </c>
      <c r="D96" s="21" t="s">
        <v>808</v>
      </c>
      <c r="E96" s="21" t="s">
        <v>809</v>
      </c>
      <c r="F96" s="19">
        <v>50140</v>
      </c>
      <c r="G96" s="21" t="s">
        <v>810</v>
      </c>
      <c r="H96" s="42" t="s">
        <v>811</v>
      </c>
      <c r="I96" s="43"/>
      <c r="J96" s="43" t="s">
        <v>812</v>
      </c>
      <c r="K96" s="45" t="s">
        <v>813</v>
      </c>
      <c r="L96" s="21" t="s">
        <v>814</v>
      </c>
      <c r="M96" s="19">
        <f>_xlfn.XLOOKUP(tab_JA[[#This Row],[Code]],Rencontres_N3_PN_Rx[Code_JA],Rencontres_N3_PN_Rx[prest],0,0)</f>
        <v>3</v>
      </c>
      <c r="N96" s="19" t="s">
        <v>36</v>
      </c>
      <c r="O96" s="26"/>
      <c r="P96" s="27">
        <f>SUMIF(Rencontres_N3_PN_Rx[Code_JA],tab_JA[[#This Row],[Code]],Rencontres_N3_PN_Rx[Frais_JA])</f>
        <v>0</v>
      </c>
      <c r="W96" s="31" t="str">
        <f>IF(X96&lt;&gt;"",_xlfn.XLOOKUP(X96,tab_JA[Code],tab_JA[N_licence],"so"),"")</f>
        <v/>
      </c>
      <c r="X96" s="32"/>
      <c r="AA96" s="33" t="s">
        <v>2552</v>
      </c>
      <c r="AB96" s="33" t="s">
        <v>2552</v>
      </c>
      <c r="AC96" s="33" t="s">
        <v>2552</v>
      </c>
      <c r="AD96" s="34" t="str">
        <f>IF(X96&lt;&gt;"",SUMIF(Rencontres_N3_PN_Rx[Code_JA],X96,Rencontres_N3_PN_Rx[Frais_JA])-SUMIF(Rencontres_N3_PN_Rx[Code_JA],X96,Rencontres_N3_PN_Rx[frais defiscalisable]),"")</f>
        <v/>
      </c>
      <c r="AE96" s="121" t="str">
        <f>IF(X96&lt;&gt;"",SUMIF(Rencontres_N3_PN_Rx[Code_JA],X96,Rencontres_N3_PN_Rx[frais defiscalisable]),"")</f>
        <v/>
      </c>
    </row>
    <row r="97" spans="1:31" ht="15" customHeight="1" x14ac:dyDescent="0.25">
      <c r="A97" s="19" t="s">
        <v>908</v>
      </c>
      <c r="B97" s="20" t="s">
        <v>909</v>
      </c>
      <c r="C97" s="21" t="s">
        <v>910</v>
      </c>
      <c r="D97" s="21" t="s">
        <v>911</v>
      </c>
      <c r="E97" s="21" t="s">
        <v>912</v>
      </c>
      <c r="F97" s="19">
        <v>76120</v>
      </c>
      <c r="G97" s="21" t="s">
        <v>913</v>
      </c>
      <c r="H97" s="42" t="s">
        <v>914</v>
      </c>
      <c r="I97" s="43"/>
      <c r="J97" s="43" t="s">
        <v>915</v>
      </c>
      <c r="K97" s="44" t="s">
        <v>126</v>
      </c>
      <c r="L97" s="21" t="s">
        <v>127</v>
      </c>
      <c r="M97" s="19">
        <f>_xlfn.XLOOKUP(tab_JA[[#This Row],[Code]],Rencontres_N3_PN_Rx[Code_JA],Rencontres_N3_PN_Rx[prest],0,0)</f>
        <v>0</v>
      </c>
      <c r="N97" s="19" t="s">
        <v>36</v>
      </c>
      <c r="O97" s="26"/>
      <c r="P97" s="27">
        <f>SUMIF(Rencontres_N3_PN_Rx[Code_JA],tab_JA[[#This Row],[Code]],Rencontres_N3_PN_Rx[Frais_JA])</f>
        <v>0</v>
      </c>
      <c r="W97" s="31" t="str">
        <f>IF(X97&lt;&gt;"",_xlfn.XLOOKUP(X97,tab_JA[Code],tab_JA[N_licence],"so"),"")</f>
        <v/>
      </c>
      <c r="X97" s="32"/>
      <c r="AA97" s="33" t="s">
        <v>2552</v>
      </c>
      <c r="AB97" s="33" t="s">
        <v>2552</v>
      </c>
      <c r="AC97" s="33" t="s">
        <v>2552</v>
      </c>
      <c r="AD97" s="34" t="str">
        <f>IF(X97&lt;&gt;"",SUMIF(Rencontres_N3_PN_Rx[Code_JA],X97,Rencontres_N3_PN_Rx[Frais_JA])-SUMIF(Rencontres_N3_PN_Rx[Code_JA],X97,Rencontres_N3_PN_Rx[frais defiscalisable]),"")</f>
        <v/>
      </c>
      <c r="AE97" s="121" t="str">
        <f>IF(X97&lt;&gt;"",SUMIF(Rencontres_N3_PN_Rx[Code_JA],X97,Rencontres_N3_PN_Rx[frais defiscalisable]),"")</f>
        <v/>
      </c>
    </row>
    <row r="98" spans="1:31" ht="15" customHeight="1" x14ac:dyDescent="0.25">
      <c r="A98" s="19" t="s">
        <v>916</v>
      </c>
      <c r="B98" s="20" t="s">
        <v>917</v>
      </c>
      <c r="C98" s="21" t="s">
        <v>918</v>
      </c>
      <c r="D98" s="21" t="s">
        <v>919</v>
      </c>
      <c r="E98" s="21" t="s">
        <v>920</v>
      </c>
      <c r="F98" s="19">
        <v>27000</v>
      </c>
      <c r="G98" s="21" t="s">
        <v>921</v>
      </c>
      <c r="H98" s="42" t="s">
        <v>922</v>
      </c>
      <c r="I98" s="43" t="s">
        <v>923</v>
      </c>
      <c r="J98" s="43" t="s">
        <v>924</v>
      </c>
      <c r="K98" s="44" t="s">
        <v>367</v>
      </c>
      <c r="L98" s="21" t="s">
        <v>368</v>
      </c>
      <c r="M98" s="19">
        <f>_xlfn.XLOOKUP(tab_JA[[#This Row],[Code]],Rencontres_N3_PN_Rx[Code_JA],Rencontres_N3_PN_Rx[prest],0,0)</f>
        <v>0</v>
      </c>
      <c r="N98" s="19" t="s">
        <v>36</v>
      </c>
      <c r="O98" s="26"/>
      <c r="P98" s="27">
        <f>SUMIF(Rencontres_N3_PN_Rx[Code_JA],tab_JA[[#This Row],[Code]],Rencontres_N3_PN_Rx[Frais_JA])</f>
        <v>0</v>
      </c>
      <c r="W98" s="31" t="str">
        <f>IF(X98&lt;&gt;"",_xlfn.XLOOKUP(X98,tab_JA[Code],tab_JA[N_licence],"so"),"")</f>
        <v/>
      </c>
      <c r="X98" s="32"/>
      <c r="AA98" s="33" t="s">
        <v>2552</v>
      </c>
      <c r="AB98" s="33" t="s">
        <v>2552</v>
      </c>
      <c r="AC98" s="33" t="s">
        <v>2552</v>
      </c>
      <c r="AD98" s="34" t="str">
        <f>IF(X98&lt;&gt;"",SUMIF(Rencontres_N3_PN_Rx[Code_JA],X98,Rencontres_N3_PN_Rx[Frais_JA])-SUMIF(Rencontres_N3_PN_Rx[Code_JA],X98,Rencontres_N3_PN_Rx[frais defiscalisable]),"")</f>
        <v/>
      </c>
      <c r="AE98" s="121" t="str">
        <f>IF(X98&lt;&gt;"",SUMIF(Rencontres_N3_PN_Rx[Code_JA],X98,Rencontres_N3_PN_Rx[frais defiscalisable]),"")</f>
        <v/>
      </c>
    </row>
    <row r="99" spans="1:31" ht="15" customHeight="1" x14ac:dyDescent="0.25">
      <c r="A99" s="19" t="s">
        <v>960</v>
      </c>
      <c r="B99" s="20" t="s">
        <v>961</v>
      </c>
      <c r="C99" s="21" t="s">
        <v>962</v>
      </c>
      <c r="D99" s="21" t="s">
        <v>963</v>
      </c>
      <c r="E99" s="21" t="s">
        <v>964</v>
      </c>
      <c r="F99" s="19">
        <v>14540</v>
      </c>
      <c r="G99" s="21" t="s">
        <v>965</v>
      </c>
      <c r="H99" s="42" t="s">
        <v>966</v>
      </c>
      <c r="I99" s="43"/>
      <c r="J99" s="43" t="s">
        <v>967</v>
      </c>
      <c r="K99" s="44" t="s">
        <v>968</v>
      </c>
      <c r="L99" s="21" t="s">
        <v>969</v>
      </c>
      <c r="M99" s="19">
        <f>_xlfn.XLOOKUP(tab_JA[[#This Row],[Code]],Rencontres_N3_PN_Rx[Code_JA],Rencontres_N3_PN_Rx[prest],0,0)</f>
        <v>0</v>
      </c>
      <c r="N99" s="19" t="s">
        <v>36</v>
      </c>
      <c r="O99" s="26"/>
      <c r="P99" s="27">
        <f>SUMIF(Rencontres_N3_PN_Rx[Code_JA],tab_JA[[#This Row],[Code]],Rencontres_N3_PN_Rx[Frais_JA])</f>
        <v>0</v>
      </c>
      <c r="W99" s="31" t="str">
        <f>IF(X99&lt;&gt;"",_xlfn.XLOOKUP(X99,tab_JA[Code],tab_JA[N_licence],"so"),"")</f>
        <v/>
      </c>
      <c r="X99" s="32"/>
      <c r="AA99" s="33" t="s">
        <v>2552</v>
      </c>
      <c r="AB99" s="33" t="s">
        <v>2552</v>
      </c>
      <c r="AC99" s="33" t="s">
        <v>2552</v>
      </c>
      <c r="AD99" s="34" t="str">
        <f>IF(X99&lt;&gt;"",SUMIF(Rencontres_N3_PN_Rx[Code_JA],X99,Rencontres_N3_PN_Rx[Frais_JA])-SUMIF(Rencontres_N3_PN_Rx[Code_JA],X99,Rencontres_N3_PN_Rx[frais defiscalisable]),"")</f>
        <v/>
      </c>
      <c r="AE99" s="121" t="str">
        <f>IF(X99&lt;&gt;"",SUMIF(Rencontres_N3_PN_Rx[Code_JA],X99,Rencontres_N3_PN_Rx[frais defiscalisable]),"")</f>
        <v/>
      </c>
    </row>
    <row r="100" spans="1:31" ht="15" customHeight="1" x14ac:dyDescent="0.25">
      <c r="A100" s="19" t="s">
        <v>3284</v>
      </c>
      <c r="B100" s="20" t="s">
        <v>925</v>
      </c>
      <c r="C100" s="21" t="s">
        <v>926</v>
      </c>
      <c r="D100" s="21" t="s">
        <v>927</v>
      </c>
      <c r="E100" s="21" t="s">
        <v>928</v>
      </c>
      <c r="F100" s="19">
        <v>76140</v>
      </c>
      <c r="G100" s="21" t="s">
        <v>929</v>
      </c>
      <c r="H100" s="42" t="s">
        <v>930</v>
      </c>
      <c r="I100" s="43"/>
      <c r="J100" s="43" t="s">
        <v>931</v>
      </c>
      <c r="K100" s="44" t="s">
        <v>932</v>
      </c>
      <c r="L100" s="21" t="s">
        <v>933</v>
      </c>
      <c r="M100" s="19">
        <f>_xlfn.XLOOKUP(tab_JA[[#This Row],[Code]],Rencontres_N3_PN_Rx[Code_JA],Rencontres_N3_PN_Rx[prest],0,0)</f>
        <v>0</v>
      </c>
      <c r="N100" s="19" t="s">
        <v>36</v>
      </c>
      <c r="O100" s="26"/>
      <c r="P100" s="27">
        <f>SUMIF(Rencontres_N3_PN_Rx[Code_JA],tab_JA[[#This Row],[Code]],Rencontres_N3_PN_Rx[Frais_JA])</f>
        <v>0</v>
      </c>
      <c r="W100" s="31" t="str">
        <f>IF(X100&lt;&gt;"",_xlfn.XLOOKUP(X100,tab_JA[Code],tab_JA[N_licence],"so"),"")</f>
        <v/>
      </c>
      <c r="X100" s="32"/>
      <c r="AA100" s="33" t="s">
        <v>2552</v>
      </c>
      <c r="AB100" s="33" t="s">
        <v>2552</v>
      </c>
      <c r="AC100" s="33" t="s">
        <v>2552</v>
      </c>
      <c r="AD100" s="34" t="str">
        <f>IF(X100&lt;&gt;"",SUMIF(Rencontres_N3_PN_Rx[Code_JA],X100,Rencontres_N3_PN_Rx[Frais_JA])-SUMIF(Rencontres_N3_PN_Rx[Code_JA],X100,Rencontres_N3_PN_Rx[frais defiscalisable]),"")</f>
        <v/>
      </c>
      <c r="AE100" s="121" t="str">
        <f>IF(X100&lt;&gt;"",SUMIF(Rencontres_N3_PN_Rx[Code_JA],X100,Rencontres_N3_PN_Rx[frais defiscalisable]),"")</f>
        <v/>
      </c>
    </row>
    <row r="101" spans="1:31" ht="15" customHeight="1" x14ac:dyDescent="0.25">
      <c r="A101" s="19" t="s">
        <v>3285</v>
      </c>
      <c r="B101" s="20" t="s">
        <v>934</v>
      </c>
      <c r="C101" s="21" t="s">
        <v>935</v>
      </c>
      <c r="D101" s="21" t="s">
        <v>936</v>
      </c>
      <c r="E101" s="21" t="s">
        <v>937</v>
      </c>
      <c r="F101" s="19">
        <v>14320</v>
      </c>
      <c r="G101" s="21" t="s">
        <v>938</v>
      </c>
      <c r="H101" s="42" t="s">
        <v>939</v>
      </c>
      <c r="I101" s="43" t="s">
        <v>940</v>
      </c>
      <c r="J101" s="43" t="s">
        <v>941</v>
      </c>
      <c r="K101" s="44" t="s">
        <v>942</v>
      </c>
      <c r="L101" s="21" t="s">
        <v>943</v>
      </c>
      <c r="M101" s="19">
        <f>_xlfn.XLOOKUP(tab_JA[[#This Row],[Code]],Rencontres_N3_PN_Rx[Code_JA],Rencontres_N3_PN_Rx[prest],0,0)</f>
        <v>0</v>
      </c>
      <c r="N101" s="19" t="s">
        <v>36</v>
      </c>
      <c r="O101" s="26"/>
      <c r="P101" s="27">
        <f>SUMIF(Rencontres_N3_PN_Rx[Code_JA],tab_JA[[#This Row],[Code]],Rencontres_N3_PN_Rx[Frais_JA])</f>
        <v>0</v>
      </c>
      <c r="W101" s="31" t="str">
        <f>IF(X101&lt;&gt;"",_xlfn.XLOOKUP(X101,tab_JA[Code],tab_JA[N_licence],"so"),"")</f>
        <v/>
      </c>
      <c r="X101" s="32"/>
      <c r="AA101" s="33" t="s">
        <v>2552</v>
      </c>
      <c r="AB101" s="33" t="s">
        <v>2552</v>
      </c>
      <c r="AC101" s="33" t="s">
        <v>2552</v>
      </c>
      <c r="AD101" s="34" t="str">
        <f>IF(X101&lt;&gt;"",SUMIF(Rencontres_N3_PN_Rx[Code_JA],X101,Rencontres_N3_PN_Rx[Frais_JA])-SUMIF(Rencontres_N3_PN_Rx[Code_JA],X101,Rencontres_N3_PN_Rx[frais defiscalisable]),"")</f>
        <v/>
      </c>
      <c r="AE101" s="121" t="str">
        <f>IF(X101&lt;&gt;"",SUMIF(Rencontres_N3_PN_Rx[Code_JA],X101,Rencontres_N3_PN_Rx[frais defiscalisable]),"")</f>
        <v/>
      </c>
    </row>
    <row r="102" spans="1:31" ht="15" customHeight="1" x14ac:dyDescent="0.25">
      <c r="A102" s="19" t="s">
        <v>3286</v>
      </c>
      <c r="B102" s="20" t="s">
        <v>980</v>
      </c>
      <c r="C102" s="21" t="s">
        <v>981</v>
      </c>
      <c r="D102" s="21" t="s">
        <v>779</v>
      </c>
      <c r="E102" s="21" t="s">
        <v>982</v>
      </c>
      <c r="F102" s="19">
        <v>76370</v>
      </c>
      <c r="G102" s="21" t="s">
        <v>983</v>
      </c>
      <c r="H102" s="42" t="s">
        <v>984</v>
      </c>
      <c r="I102" s="43" t="s">
        <v>985</v>
      </c>
      <c r="J102" s="43" t="s">
        <v>986</v>
      </c>
      <c r="K102" s="44" t="s">
        <v>987</v>
      </c>
      <c r="L102" s="21" t="s">
        <v>988</v>
      </c>
      <c r="M102" s="19">
        <f>_xlfn.XLOOKUP(tab_JA[[#This Row],[Code]],Rencontres_N3_PN_Rx[Code_JA],Rencontres_N3_PN_Rx[prest],0,0)</f>
        <v>0</v>
      </c>
      <c r="N102" s="19" t="s">
        <v>36</v>
      </c>
      <c r="O102" s="26"/>
      <c r="P102" s="27">
        <f>SUMIF(Rencontres_N3_PN_Rx[Code_JA],tab_JA[[#This Row],[Code]],Rencontres_N3_PN_Rx[Frais_JA])</f>
        <v>0</v>
      </c>
      <c r="W102" s="31" t="str">
        <f>IF(X102&lt;&gt;"",_xlfn.XLOOKUP(X102,tab_JA[Code],tab_JA[N_licence],"so"),"")</f>
        <v/>
      </c>
      <c r="X102" s="32"/>
      <c r="AA102" s="33" t="s">
        <v>2552</v>
      </c>
      <c r="AB102" s="33" t="s">
        <v>2552</v>
      </c>
      <c r="AC102" s="33" t="s">
        <v>2552</v>
      </c>
      <c r="AD102" s="34" t="str">
        <f>IF(X102&lt;&gt;"",SUMIF(Rencontres_N3_PN_Rx[Code_JA],X102,Rencontres_N3_PN_Rx[Frais_JA])-SUMIF(Rencontres_N3_PN_Rx[Code_JA],X102,Rencontres_N3_PN_Rx[frais defiscalisable]),"")</f>
        <v/>
      </c>
      <c r="AE102" s="121" t="str">
        <f>IF(X102&lt;&gt;"",SUMIF(Rencontres_N3_PN_Rx[Code_JA],X102,Rencontres_N3_PN_Rx[frais defiscalisable]),"")</f>
        <v/>
      </c>
    </row>
    <row r="103" spans="1:31" ht="15" customHeight="1" x14ac:dyDescent="0.25">
      <c r="A103" s="19" t="s">
        <v>953</v>
      </c>
      <c r="B103" s="20" t="s">
        <v>954</v>
      </c>
      <c r="C103" s="21" t="s">
        <v>955</v>
      </c>
      <c r="D103" s="21" t="s">
        <v>956</v>
      </c>
      <c r="E103" s="21" t="s">
        <v>957</v>
      </c>
      <c r="F103" s="19">
        <v>50450</v>
      </c>
      <c r="G103" s="21" t="s">
        <v>958</v>
      </c>
      <c r="H103" s="42" t="s">
        <v>959</v>
      </c>
      <c r="I103" s="43"/>
      <c r="J103" s="43"/>
      <c r="K103" s="44" t="s">
        <v>98</v>
      </c>
      <c r="L103" s="21" t="s">
        <v>99</v>
      </c>
      <c r="M103" s="19">
        <f>_xlfn.XLOOKUP(tab_JA[[#This Row],[Code]],Rencontres_N3_PN_Rx[Code_JA],Rencontres_N3_PN_Rx[prest],0,0)</f>
        <v>0</v>
      </c>
      <c r="N103" s="19" t="s">
        <v>36</v>
      </c>
      <c r="O103" s="26"/>
      <c r="P103" s="27">
        <f>SUMIF(Rencontres_N3_PN_Rx[Code_JA],tab_JA[[#This Row],[Code]],Rencontres_N3_PN_Rx[Frais_JA])</f>
        <v>0</v>
      </c>
      <c r="W103" s="31" t="str">
        <f>IF(X103&lt;&gt;"",_xlfn.XLOOKUP(X103,tab_JA[Code],tab_JA[N_licence],"so"),"")</f>
        <v/>
      </c>
      <c r="X103" s="32"/>
      <c r="AA103" s="33" t="s">
        <v>2552</v>
      </c>
      <c r="AB103" s="33" t="s">
        <v>2552</v>
      </c>
      <c r="AC103" s="33" t="s">
        <v>2552</v>
      </c>
      <c r="AD103" s="34" t="str">
        <f>IF(X103&lt;&gt;"",SUMIF(Rencontres_N3_PN_Rx[Code_JA],X103,Rencontres_N3_PN_Rx[Frais_JA])-SUMIF(Rencontres_N3_PN_Rx[Code_JA],X103,Rencontres_N3_PN_Rx[frais defiscalisable]),"")</f>
        <v/>
      </c>
      <c r="AE103" s="121" t="str">
        <f>IF(X103&lt;&gt;"",SUMIF(Rencontres_N3_PN_Rx[Code_JA],X103,Rencontres_N3_PN_Rx[frais defiscalisable]),"")</f>
        <v/>
      </c>
    </row>
    <row r="104" spans="1:31" ht="15" customHeight="1" x14ac:dyDescent="0.25">
      <c r="A104" s="19" t="s">
        <v>970</v>
      </c>
      <c r="B104" s="20" t="s">
        <v>971</v>
      </c>
      <c r="C104" s="21" t="s">
        <v>972</v>
      </c>
      <c r="D104" s="21" t="s">
        <v>973</v>
      </c>
      <c r="E104" s="21" t="s">
        <v>974</v>
      </c>
      <c r="F104" s="19">
        <v>76400</v>
      </c>
      <c r="G104" s="21" t="s">
        <v>975</v>
      </c>
      <c r="H104" s="42" t="s">
        <v>976</v>
      </c>
      <c r="I104" s="43"/>
      <c r="J104" s="43" t="s">
        <v>977</v>
      </c>
      <c r="K104" s="44" t="s">
        <v>978</v>
      </c>
      <c r="L104" s="21" t="s">
        <v>979</v>
      </c>
      <c r="M104" s="19">
        <f>_xlfn.XLOOKUP(tab_JA[[#This Row],[Code]],Rencontres_N3_PN_Rx[Code_JA],Rencontres_N3_PN_Rx[prest],0,0)</f>
        <v>0</v>
      </c>
      <c r="N104" s="19" t="s">
        <v>36</v>
      </c>
      <c r="O104" s="26"/>
      <c r="P104" s="27">
        <f>SUMIF(Rencontres_N3_PN_Rx[Code_JA],tab_JA[[#This Row],[Code]],Rencontres_N3_PN_Rx[Frais_JA])</f>
        <v>0</v>
      </c>
      <c r="W104" s="31" t="str">
        <f>IF(X104&lt;&gt;"",_xlfn.XLOOKUP(X104,tab_JA[Code],tab_JA[N_licence],"so"),"")</f>
        <v/>
      </c>
      <c r="X104" s="32"/>
      <c r="AA104" s="33" t="s">
        <v>2552</v>
      </c>
      <c r="AB104" s="33" t="s">
        <v>2552</v>
      </c>
      <c r="AC104" s="33" t="s">
        <v>2552</v>
      </c>
      <c r="AD104" s="34" t="str">
        <f>IF(X104&lt;&gt;"",SUMIF(Rencontres_N3_PN_Rx[Code_JA],X104,Rencontres_N3_PN_Rx[Frais_JA])-SUMIF(Rencontres_N3_PN_Rx[Code_JA],X104,Rencontres_N3_PN_Rx[frais defiscalisable]),"")</f>
        <v/>
      </c>
      <c r="AE104" s="121" t="str">
        <f>IF(X104&lt;&gt;"",SUMIF(Rencontres_N3_PN_Rx[Code_JA],X104,Rencontres_N3_PN_Rx[frais defiscalisable]),"")</f>
        <v/>
      </c>
    </row>
    <row r="105" spans="1:31" ht="15" customHeight="1" x14ac:dyDescent="0.25">
      <c r="A105" s="19" t="s">
        <v>944</v>
      </c>
      <c r="B105" s="20" t="s">
        <v>945</v>
      </c>
      <c r="C105" s="21" t="s">
        <v>946</v>
      </c>
      <c r="D105" s="21" t="s">
        <v>947</v>
      </c>
      <c r="E105" s="21" t="s">
        <v>948</v>
      </c>
      <c r="F105" s="19">
        <v>61100</v>
      </c>
      <c r="G105" s="21" t="s">
        <v>30</v>
      </c>
      <c r="H105" s="42" t="s">
        <v>949</v>
      </c>
      <c r="I105" s="43"/>
      <c r="J105" s="43" t="s">
        <v>950</v>
      </c>
      <c r="K105" s="44" t="s">
        <v>951</v>
      </c>
      <c r="L105" s="21" t="s">
        <v>952</v>
      </c>
      <c r="M105" s="19">
        <f>_xlfn.XLOOKUP(tab_JA[[#This Row],[Code]],Rencontres_N3_PN_Rx[Code_JA],Rencontres_N3_PN_Rx[prest],0,0)</f>
        <v>0</v>
      </c>
      <c r="N105" s="19" t="s">
        <v>36</v>
      </c>
      <c r="O105" s="26"/>
      <c r="P105" s="27">
        <f>SUMIF(Rencontres_N3_PN_Rx[Code_JA],tab_JA[[#This Row],[Code]],Rencontres_N3_PN_Rx[Frais_JA])</f>
        <v>0</v>
      </c>
      <c r="W105" s="31" t="str">
        <f>IF(X105&lt;&gt;"",_xlfn.XLOOKUP(X105,tab_JA[Code],tab_JA[N_licence],"so"),"")</f>
        <v/>
      </c>
      <c r="X105" s="32"/>
      <c r="AA105" s="33" t="s">
        <v>2552</v>
      </c>
      <c r="AB105" s="33" t="s">
        <v>2552</v>
      </c>
      <c r="AC105" s="33" t="s">
        <v>2552</v>
      </c>
      <c r="AD105" s="34" t="str">
        <f>IF(X105&lt;&gt;"",SUMIF(Rencontres_N3_PN_Rx[Code_JA],X105,Rencontres_N3_PN_Rx[Frais_JA])-SUMIF(Rencontres_N3_PN_Rx[Code_JA],X105,Rencontres_N3_PN_Rx[frais defiscalisable]),"")</f>
        <v/>
      </c>
      <c r="AE105" s="121" t="str">
        <f>IF(X105&lt;&gt;"",SUMIF(Rencontres_N3_PN_Rx[Code_JA],X105,Rencontres_N3_PN_Rx[frais defiscalisable]),"")</f>
        <v/>
      </c>
    </row>
    <row r="106" spans="1:31" ht="15" customHeight="1" x14ac:dyDescent="0.25">
      <c r="A106" s="19" t="s">
        <v>989</v>
      </c>
      <c r="B106" s="20" t="s">
        <v>990</v>
      </c>
      <c r="C106" s="21" t="s">
        <v>991</v>
      </c>
      <c r="D106" s="21" t="s">
        <v>516</v>
      </c>
      <c r="E106" s="21" t="s">
        <v>992</v>
      </c>
      <c r="F106" s="19">
        <v>76620</v>
      </c>
      <c r="G106" s="21" t="s">
        <v>828</v>
      </c>
      <c r="H106" s="42" t="s">
        <v>993</v>
      </c>
      <c r="I106" s="43" t="s">
        <v>994</v>
      </c>
      <c r="J106" s="43" t="s">
        <v>994</v>
      </c>
      <c r="K106" s="44" t="s">
        <v>450</v>
      </c>
      <c r="L106" s="21" t="s">
        <v>451</v>
      </c>
      <c r="M106" s="19">
        <f>_xlfn.XLOOKUP(tab_JA[[#This Row],[Code]],Rencontres_N3_PN_Rx[Code_JA],Rencontres_N3_PN_Rx[prest],0,0)</f>
        <v>0</v>
      </c>
      <c r="N106" s="19" t="s">
        <v>36</v>
      </c>
      <c r="O106" s="26"/>
      <c r="P106" s="27">
        <f>SUMIF(Rencontres_N3_PN_Rx[Code_JA],tab_JA[[#This Row],[Code]],Rencontres_N3_PN_Rx[Frais_JA])</f>
        <v>0</v>
      </c>
      <c r="W106" s="31" t="str">
        <f>IF(X106&lt;&gt;"",_xlfn.XLOOKUP(X106,tab_JA[Code],tab_JA[N_licence],"so"),"")</f>
        <v/>
      </c>
      <c r="X106" s="32"/>
      <c r="AA106" s="33" t="s">
        <v>2552</v>
      </c>
      <c r="AB106" s="33" t="s">
        <v>2552</v>
      </c>
      <c r="AC106" s="33" t="s">
        <v>2552</v>
      </c>
      <c r="AD106" s="34" t="str">
        <f>IF(X106&lt;&gt;"",SUMIF(Rencontres_N3_PN_Rx[Code_JA],X106,Rencontres_N3_PN_Rx[Frais_JA])-SUMIF(Rencontres_N3_PN_Rx[Code_JA],X106,Rencontres_N3_PN_Rx[frais defiscalisable]),"")</f>
        <v/>
      </c>
      <c r="AE106" s="121" t="str">
        <f>IF(X106&lt;&gt;"",SUMIF(Rencontres_N3_PN_Rx[Code_JA],X106,Rencontres_N3_PN_Rx[frais defiscalisable]),"")</f>
        <v/>
      </c>
    </row>
    <row r="107" spans="1:31" ht="15" customHeight="1" x14ac:dyDescent="0.25">
      <c r="A107" s="19" t="s">
        <v>995</v>
      </c>
      <c r="B107" s="20" t="s">
        <v>996</v>
      </c>
      <c r="C107" s="21" t="s">
        <v>997</v>
      </c>
      <c r="D107" s="21" t="s">
        <v>998</v>
      </c>
      <c r="E107" s="21" t="s">
        <v>999</v>
      </c>
      <c r="F107" s="19">
        <v>14460</v>
      </c>
      <c r="G107" s="21" t="s">
        <v>1000</v>
      </c>
      <c r="H107" s="42" t="s">
        <v>1001</v>
      </c>
      <c r="I107" s="43"/>
      <c r="J107" s="43" t="s">
        <v>1002</v>
      </c>
      <c r="K107" s="44" t="s">
        <v>1003</v>
      </c>
      <c r="L107" s="21" t="s">
        <v>1004</v>
      </c>
      <c r="M107" s="19">
        <f>_xlfn.XLOOKUP(tab_JA[[#This Row],[Code]],Rencontres_N3_PN_Rx[Code_JA],Rencontres_N3_PN_Rx[prest],0,0)</f>
        <v>0</v>
      </c>
      <c r="N107" s="19" t="s">
        <v>36</v>
      </c>
      <c r="O107" s="26"/>
      <c r="P107" s="27">
        <f>SUMIF(Rencontres_N3_PN_Rx[Code_JA],tab_JA[[#This Row],[Code]],Rencontres_N3_PN_Rx[Frais_JA])</f>
        <v>0</v>
      </c>
      <c r="W107" s="31" t="str">
        <f>IF(X107&lt;&gt;"",_xlfn.XLOOKUP(X107,tab_JA[Code],tab_JA[N_licence],"so"),"")</f>
        <v/>
      </c>
      <c r="X107" s="32"/>
      <c r="AA107" s="33" t="s">
        <v>2552</v>
      </c>
      <c r="AB107" s="33" t="s">
        <v>2552</v>
      </c>
      <c r="AC107" s="33" t="s">
        <v>2552</v>
      </c>
      <c r="AD107" s="34" t="str">
        <f>IF(X107&lt;&gt;"",SUMIF(Rencontres_N3_PN_Rx[Code_JA],X107,Rencontres_N3_PN_Rx[Frais_JA])-SUMIF(Rencontres_N3_PN_Rx[Code_JA],X107,Rencontres_N3_PN_Rx[frais defiscalisable]),"")</f>
        <v/>
      </c>
      <c r="AE107" s="121" t="str">
        <f>IF(X107&lt;&gt;"",SUMIF(Rencontres_N3_PN_Rx[Code_JA],X107,Rencontres_N3_PN_Rx[frais defiscalisable]),"")</f>
        <v/>
      </c>
    </row>
    <row r="108" spans="1:31" ht="15" customHeight="1" x14ac:dyDescent="0.25">
      <c r="A108" s="19" t="s">
        <v>1005</v>
      </c>
      <c r="B108" s="46" t="s">
        <v>1006</v>
      </c>
      <c r="C108" s="21" t="s">
        <v>1007</v>
      </c>
      <c r="D108" s="21" t="s">
        <v>463</v>
      </c>
      <c r="E108" s="21" t="s">
        <v>1008</v>
      </c>
      <c r="F108" s="19">
        <v>76190</v>
      </c>
      <c r="G108" s="21" t="s">
        <v>331</v>
      </c>
      <c r="H108" s="42" t="s">
        <v>1009</v>
      </c>
      <c r="I108" s="43" t="s">
        <v>1010</v>
      </c>
      <c r="J108" s="43" t="s">
        <v>1011</v>
      </c>
      <c r="K108" s="45" t="s">
        <v>335</v>
      </c>
      <c r="L108" s="21" t="s">
        <v>336</v>
      </c>
      <c r="M108" s="19">
        <f>_xlfn.XLOOKUP(tab_JA[[#This Row],[Code]],Rencontres_N3_PN_Rx[Code_JA],Rencontres_N3_PN_Rx[prest],0,0)</f>
        <v>0</v>
      </c>
      <c r="N108" s="19" t="s">
        <v>36</v>
      </c>
      <c r="O108" s="26"/>
      <c r="P108" s="27">
        <f>SUMIF(Rencontres_N3_PN_Rx[Code_JA],tab_JA[[#This Row],[Code]],Rencontres_N3_PN_Rx[Frais_JA])</f>
        <v>0</v>
      </c>
      <c r="W108" s="31" t="str">
        <f>IF(X108&lt;&gt;"",_xlfn.XLOOKUP(X108,tab_JA[Code],tab_JA[N_licence],"so"),"")</f>
        <v/>
      </c>
      <c r="X108" s="32"/>
      <c r="AA108" s="33" t="s">
        <v>2552</v>
      </c>
      <c r="AB108" s="33" t="s">
        <v>2552</v>
      </c>
      <c r="AC108" s="33" t="s">
        <v>2552</v>
      </c>
      <c r="AD108" s="34" t="str">
        <f>IF(X108&lt;&gt;"",SUMIF(Rencontres_N3_PN_Rx[Code_JA],X108,Rencontres_N3_PN_Rx[Frais_JA])-SUMIF(Rencontres_N3_PN_Rx[Code_JA],X108,Rencontres_N3_PN_Rx[frais defiscalisable]),"")</f>
        <v/>
      </c>
      <c r="AE108" s="121" t="str">
        <f>IF(X108&lt;&gt;"",SUMIF(Rencontres_N3_PN_Rx[Code_JA],X108,Rencontres_N3_PN_Rx[frais defiscalisable]),"")</f>
        <v/>
      </c>
    </row>
    <row r="109" spans="1:31" ht="15" customHeight="1" x14ac:dyDescent="0.25">
      <c r="A109" s="19" t="s">
        <v>1012</v>
      </c>
      <c r="B109" s="20" t="s">
        <v>1013</v>
      </c>
      <c r="C109" s="21" t="s">
        <v>1014</v>
      </c>
      <c r="D109" s="21" t="s">
        <v>973</v>
      </c>
      <c r="E109" s="21" t="s">
        <v>1015</v>
      </c>
      <c r="F109" s="19">
        <v>61150</v>
      </c>
      <c r="G109" s="21" t="s">
        <v>1016</v>
      </c>
      <c r="H109" s="42" t="s">
        <v>1017</v>
      </c>
      <c r="I109" s="43" t="s">
        <v>1018</v>
      </c>
      <c r="J109" s="43" t="s">
        <v>1019</v>
      </c>
      <c r="K109" s="44" t="s">
        <v>1020</v>
      </c>
      <c r="L109" s="21" t="s">
        <v>1021</v>
      </c>
      <c r="M109" s="19">
        <f>_xlfn.XLOOKUP(tab_JA[[#This Row],[Code]],Rencontres_N3_PN_Rx[Code_JA],Rencontres_N3_PN_Rx[prest],0,0)</f>
        <v>0</v>
      </c>
      <c r="N109" s="19" t="s">
        <v>36</v>
      </c>
      <c r="O109" s="26"/>
      <c r="P109" s="27">
        <f>SUMIF(Rencontres_N3_PN_Rx[Code_JA],tab_JA[[#This Row],[Code]],Rencontres_N3_PN_Rx[Frais_JA])</f>
        <v>0</v>
      </c>
      <c r="W109" s="31" t="str">
        <f>IF(X109&lt;&gt;"",_xlfn.XLOOKUP(X109,tab_JA[Code],tab_JA[N_licence],"so"),"")</f>
        <v/>
      </c>
      <c r="X109" s="32"/>
      <c r="AA109" s="33" t="s">
        <v>2552</v>
      </c>
      <c r="AB109" s="33" t="s">
        <v>2552</v>
      </c>
      <c r="AC109" s="33" t="s">
        <v>2552</v>
      </c>
      <c r="AD109" s="34" t="str">
        <f>IF(X109&lt;&gt;"",SUMIF(Rencontres_N3_PN_Rx[Code_JA],X109,Rencontres_N3_PN_Rx[Frais_JA])-SUMIF(Rencontres_N3_PN_Rx[Code_JA],X109,Rencontres_N3_PN_Rx[frais defiscalisable]),"")</f>
        <v/>
      </c>
      <c r="AE109" s="121" t="str">
        <f>IF(X109&lt;&gt;"",SUMIF(Rencontres_N3_PN_Rx[Code_JA],X109,Rencontres_N3_PN_Rx[frais defiscalisable]),"")</f>
        <v/>
      </c>
    </row>
    <row r="110" spans="1:31" ht="15" customHeight="1" x14ac:dyDescent="0.25">
      <c r="A110" s="19" t="s">
        <v>1022</v>
      </c>
      <c r="B110" s="20" t="s">
        <v>1023</v>
      </c>
      <c r="C110" s="21" t="s">
        <v>1024</v>
      </c>
      <c r="D110" s="21" t="s">
        <v>1025</v>
      </c>
      <c r="E110" s="21" t="s">
        <v>1026</v>
      </c>
      <c r="F110" s="19">
        <v>27150</v>
      </c>
      <c r="G110" s="21" t="s">
        <v>1027</v>
      </c>
      <c r="H110" s="42" t="s">
        <v>1028</v>
      </c>
      <c r="I110" s="43" t="s">
        <v>1029</v>
      </c>
      <c r="J110" s="43" t="s">
        <v>1029</v>
      </c>
      <c r="K110" s="44" t="s">
        <v>1030</v>
      </c>
      <c r="L110" s="21" t="s">
        <v>1031</v>
      </c>
      <c r="M110" s="19">
        <f>_xlfn.XLOOKUP(tab_JA[[#This Row],[Code]],Rencontres_N3_PN_Rx[Code_JA],Rencontres_N3_PN_Rx[prest],0,0)</f>
        <v>0</v>
      </c>
      <c r="N110" s="19" t="s">
        <v>36</v>
      </c>
      <c r="O110" s="26"/>
      <c r="P110" s="27">
        <f>SUMIF(Rencontres_N3_PN_Rx[Code_JA],tab_JA[[#This Row],[Code]],Rencontres_N3_PN_Rx[Frais_JA])</f>
        <v>0</v>
      </c>
      <c r="W110" s="31" t="str">
        <f>IF(X110&lt;&gt;"",_xlfn.XLOOKUP(X110,tab_JA[Code],tab_JA[N_licence],"so"),"")</f>
        <v/>
      </c>
      <c r="X110" s="32"/>
      <c r="AA110" s="33" t="s">
        <v>2552</v>
      </c>
      <c r="AB110" s="33" t="s">
        <v>2552</v>
      </c>
      <c r="AC110" s="33" t="s">
        <v>2552</v>
      </c>
      <c r="AD110" s="34" t="str">
        <f>IF(X110&lt;&gt;"",SUMIF(Rencontres_N3_PN_Rx[Code_JA],X110,Rencontres_N3_PN_Rx[Frais_JA])-SUMIF(Rencontres_N3_PN_Rx[Code_JA],X110,Rencontres_N3_PN_Rx[frais defiscalisable]),"")</f>
        <v/>
      </c>
      <c r="AE110" s="121" t="str">
        <f>IF(X110&lt;&gt;"",SUMIF(Rencontres_N3_PN_Rx[Code_JA],X110,Rencontres_N3_PN_Rx[frais defiscalisable]),"")</f>
        <v/>
      </c>
    </row>
    <row r="111" spans="1:31" ht="15" customHeight="1" x14ac:dyDescent="0.25">
      <c r="A111" s="19" t="s">
        <v>1040</v>
      </c>
      <c r="B111" s="20" t="s">
        <v>1041</v>
      </c>
      <c r="C111" s="21" t="s">
        <v>1042</v>
      </c>
      <c r="D111" s="21" t="s">
        <v>1043</v>
      </c>
      <c r="E111" s="21" t="s">
        <v>1044</v>
      </c>
      <c r="F111" s="19">
        <v>27220</v>
      </c>
      <c r="G111" s="21" t="s">
        <v>1045</v>
      </c>
      <c r="H111" s="42" t="s">
        <v>1046</v>
      </c>
      <c r="I111" s="43" t="s">
        <v>1047</v>
      </c>
      <c r="J111" s="43" t="s">
        <v>1048</v>
      </c>
      <c r="K111" s="44" t="s">
        <v>1049</v>
      </c>
      <c r="L111" s="21" t="s">
        <v>1050</v>
      </c>
      <c r="M111" s="19">
        <f>_xlfn.XLOOKUP(tab_JA[[#This Row],[Code]],Rencontres_N3_PN_Rx[Code_JA],Rencontres_N3_PN_Rx[prest],0,0)</f>
        <v>0</v>
      </c>
      <c r="N111" s="19" t="s">
        <v>36</v>
      </c>
      <c r="O111" s="26"/>
      <c r="P111" s="27">
        <f>SUMIF(Rencontres_N3_PN_Rx[Code_JA],tab_JA[[#This Row],[Code]],Rencontres_N3_PN_Rx[Frais_JA])</f>
        <v>0</v>
      </c>
      <c r="W111" s="31" t="str">
        <f>IF(X111&lt;&gt;"",_xlfn.XLOOKUP(X111,tab_JA[Code],tab_JA[N_licence],"so"),"")</f>
        <v/>
      </c>
      <c r="X111" s="32"/>
      <c r="AA111" s="33" t="s">
        <v>2552</v>
      </c>
      <c r="AB111" s="33" t="s">
        <v>2552</v>
      </c>
      <c r="AC111" s="33" t="s">
        <v>2552</v>
      </c>
      <c r="AD111" s="34" t="str">
        <f>IF(X111&lt;&gt;"",SUMIF(Rencontres_N3_PN_Rx[Code_JA],X111,Rencontres_N3_PN_Rx[Frais_JA])-SUMIF(Rencontres_N3_PN_Rx[Code_JA],X111,Rencontres_N3_PN_Rx[frais defiscalisable]),"")</f>
        <v/>
      </c>
      <c r="AE111" s="121" t="str">
        <f>IF(X111&lt;&gt;"",SUMIF(Rencontres_N3_PN_Rx[Code_JA],X111,Rencontres_N3_PN_Rx[frais defiscalisable]),"")</f>
        <v/>
      </c>
    </row>
    <row r="112" spans="1:31" ht="15" customHeight="1" x14ac:dyDescent="0.25">
      <c r="A112" s="19" t="s">
        <v>1032</v>
      </c>
      <c r="B112" s="20" t="s">
        <v>1033</v>
      </c>
      <c r="C112" s="21" t="s">
        <v>1034</v>
      </c>
      <c r="D112" s="21" t="s">
        <v>1035</v>
      </c>
      <c r="E112" s="21" t="s">
        <v>1036</v>
      </c>
      <c r="F112" s="19">
        <v>14760</v>
      </c>
      <c r="G112" s="21" t="s">
        <v>1037</v>
      </c>
      <c r="H112" s="42" t="s">
        <v>1038</v>
      </c>
      <c r="I112" s="43"/>
      <c r="J112" s="43" t="s">
        <v>1039</v>
      </c>
      <c r="K112" s="44" t="s">
        <v>345</v>
      </c>
      <c r="L112" s="21" t="s">
        <v>346</v>
      </c>
      <c r="M112" s="19">
        <f>_xlfn.XLOOKUP(tab_JA[[#This Row],[Code]],Rencontres_N3_PN_Rx[Code_JA],Rencontres_N3_PN_Rx[prest],0,0)</f>
        <v>0</v>
      </c>
      <c r="N112" s="19" t="s">
        <v>36</v>
      </c>
      <c r="O112" s="26"/>
      <c r="P112" s="27">
        <f>SUMIF(Rencontres_N3_PN_Rx[Code_JA],tab_JA[[#This Row],[Code]],Rencontres_N3_PN_Rx[Frais_JA])</f>
        <v>0</v>
      </c>
      <c r="W112" s="31" t="str">
        <f>IF(X112&lt;&gt;"",_xlfn.XLOOKUP(X112,tab_JA[Code],tab_JA[N_licence],"so"),"")</f>
        <v/>
      </c>
      <c r="X112" s="32"/>
      <c r="AA112" s="33" t="s">
        <v>2552</v>
      </c>
      <c r="AB112" s="33" t="s">
        <v>2552</v>
      </c>
      <c r="AC112" s="33" t="s">
        <v>2552</v>
      </c>
      <c r="AD112" s="34" t="str">
        <f>IF(X112&lt;&gt;"",SUMIF(Rencontres_N3_PN_Rx[Code_JA],X112,Rencontres_N3_PN_Rx[Frais_JA])-SUMIF(Rencontres_N3_PN_Rx[Code_JA],X112,Rencontres_N3_PN_Rx[frais defiscalisable]),"")</f>
        <v/>
      </c>
      <c r="AE112" s="121" t="str">
        <f>IF(X112&lt;&gt;"",SUMIF(Rencontres_N3_PN_Rx[Code_JA],X112,Rencontres_N3_PN_Rx[frais defiscalisable]),"")</f>
        <v/>
      </c>
    </row>
    <row r="113" spans="1:31" ht="15" customHeight="1" x14ac:dyDescent="0.25">
      <c r="A113" s="19" t="s">
        <v>1058</v>
      </c>
      <c r="B113" s="20" t="s">
        <v>1059</v>
      </c>
      <c r="C113" s="21" t="s">
        <v>1060</v>
      </c>
      <c r="D113" s="21" t="s">
        <v>1061</v>
      </c>
      <c r="E113" s="21" t="s">
        <v>1062</v>
      </c>
      <c r="F113" s="19">
        <v>27940</v>
      </c>
      <c r="G113" s="21" t="s">
        <v>1063</v>
      </c>
      <c r="H113" s="42" t="s">
        <v>1064</v>
      </c>
      <c r="I113" s="43" t="s">
        <v>1065</v>
      </c>
      <c r="J113" s="43" t="s">
        <v>1066</v>
      </c>
      <c r="K113" s="44" t="s">
        <v>1030</v>
      </c>
      <c r="L113" s="21" t="s">
        <v>1031</v>
      </c>
      <c r="M113" s="19">
        <f>_xlfn.XLOOKUP(tab_JA[[#This Row],[Code]],Rencontres_N3_PN_Rx[Code_JA],Rencontres_N3_PN_Rx[prest],0,0)</f>
        <v>0</v>
      </c>
      <c r="N113" s="19" t="s">
        <v>36</v>
      </c>
      <c r="O113" s="26"/>
      <c r="P113" s="27">
        <f>SUMIF(Rencontres_N3_PN_Rx[Code_JA],tab_JA[[#This Row],[Code]],Rencontres_N3_PN_Rx[Frais_JA])</f>
        <v>0</v>
      </c>
      <c r="W113" s="31" t="str">
        <f>IF(X113&lt;&gt;"",_xlfn.XLOOKUP(X113,tab_JA[Code],tab_JA[N_licence],"so"),"")</f>
        <v/>
      </c>
      <c r="X113" s="32"/>
      <c r="AA113" s="33" t="s">
        <v>2552</v>
      </c>
      <c r="AB113" s="33" t="s">
        <v>2552</v>
      </c>
      <c r="AC113" s="33" t="s">
        <v>2552</v>
      </c>
      <c r="AD113" s="34" t="str">
        <f>IF(X113&lt;&gt;"",SUMIF(Rencontres_N3_PN_Rx[Code_JA],X113,Rencontres_N3_PN_Rx[Frais_JA])-SUMIF(Rencontres_N3_PN_Rx[Code_JA],X113,Rencontres_N3_PN_Rx[frais defiscalisable]),"")</f>
        <v/>
      </c>
      <c r="AE113" s="121" t="str">
        <f>IF(X113&lt;&gt;"",SUMIF(Rencontres_N3_PN_Rx[Code_JA],X113,Rencontres_N3_PN_Rx[frais defiscalisable]),"")</f>
        <v/>
      </c>
    </row>
    <row r="114" spans="1:31" ht="15" customHeight="1" x14ac:dyDescent="0.25">
      <c r="A114" s="19" t="s">
        <v>1051</v>
      </c>
      <c r="B114" s="20" t="s">
        <v>1052</v>
      </c>
      <c r="C114" s="21" t="s">
        <v>1053</v>
      </c>
      <c r="D114" s="21" t="s">
        <v>885</v>
      </c>
      <c r="E114" s="21" t="s">
        <v>1054</v>
      </c>
      <c r="F114" s="19">
        <v>61100</v>
      </c>
      <c r="G114" s="21" t="s">
        <v>30</v>
      </c>
      <c r="H114" s="42" t="s">
        <v>1055</v>
      </c>
      <c r="I114" s="43" t="s">
        <v>1056</v>
      </c>
      <c r="J114" s="43" t="s">
        <v>1057</v>
      </c>
      <c r="K114" s="44" t="s">
        <v>34</v>
      </c>
      <c r="L114" s="21" t="s">
        <v>35</v>
      </c>
      <c r="M114" s="19">
        <f>_xlfn.XLOOKUP(tab_JA[[#This Row],[Code]],Rencontres_N3_PN_Rx[Code_JA],Rencontres_N3_PN_Rx[prest],0,0)</f>
        <v>0</v>
      </c>
      <c r="N114" s="19" t="s">
        <v>36</v>
      </c>
      <c r="O114" s="26"/>
      <c r="P114" s="27">
        <f>SUMIF(Rencontres_N3_PN_Rx[Code_JA],tab_JA[[#This Row],[Code]],Rencontres_N3_PN_Rx[Frais_JA])</f>
        <v>0</v>
      </c>
      <c r="W114" s="31" t="str">
        <f>IF(X114&lt;&gt;"",_xlfn.XLOOKUP(X114,tab_JA[Code],tab_JA[N_licence],"so"),"")</f>
        <v/>
      </c>
      <c r="X114" s="32"/>
      <c r="AA114" s="33" t="s">
        <v>2552</v>
      </c>
      <c r="AB114" s="33" t="s">
        <v>2552</v>
      </c>
      <c r="AC114" s="33" t="s">
        <v>2552</v>
      </c>
      <c r="AD114" s="34" t="str">
        <f>IF(X114&lt;&gt;"",SUMIF(Rencontres_N3_PN_Rx[Code_JA],X114,Rencontres_N3_PN_Rx[Frais_JA])-SUMIF(Rencontres_N3_PN_Rx[Code_JA],X114,Rencontres_N3_PN_Rx[frais defiscalisable]),"")</f>
        <v/>
      </c>
      <c r="AE114" s="121" t="str">
        <f>IF(X114&lt;&gt;"",SUMIF(Rencontres_N3_PN_Rx[Code_JA],X114,Rencontres_N3_PN_Rx[frais defiscalisable]),"")</f>
        <v/>
      </c>
    </row>
    <row r="115" spans="1:31" ht="15" customHeight="1" x14ac:dyDescent="0.25">
      <c r="A115" s="19" t="s">
        <v>1067</v>
      </c>
      <c r="B115" s="20" t="s">
        <v>1068</v>
      </c>
      <c r="C115" s="21" t="s">
        <v>1069</v>
      </c>
      <c r="D115" s="21" t="s">
        <v>1070</v>
      </c>
      <c r="E115" s="21" t="s">
        <v>1071</v>
      </c>
      <c r="F115" s="19">
        <v>14340</v>
      </c>
      <c r="G115" s="21" t="s">
        <v>1072</v>
      </c>
      <c r="H115" s="42" t="s">
        <v>1073</v>
      </c>
      <c r="I115" s="43"/>
      <c r="J115" s="43" t="s">
        <v>1074</v>
      </c>
      <c r="K115" s="44" t="s">
        <v>1075</v>
      </c>
      <c r="L115" s="21" t="s">
        <v>1076</v>
      </c>
      <c r="M115" s="19">
        <f>_xlfn.XLOOKUP(tab_JA[[#This Row],[Code]],Rencontres_N3_PN_Rx[Code_JA],Rencontres_N3_PN_Rx[prest],0,0)</f>
        <v>0</v>
      </c>
      <c r="N115" s="19" t="s">
        <v>36</v>
      </c>
      <c r="O115" s="26"/>
      <c r="P115" s="27">
        <f>SUMIF(Rencontres_N3_PN_Rx[Code_JA],tab_JA[[#This Row],[Code]],Rencontres_N3_PN_Rx[Frais_JA])</f>
        <v>0</v>
      </c>
      <c r="W115" s="31" t="str">
        <f>IF(X115&lt;&gt;"",_xlfn.XLOOKUP(X115,tab_JA[Code],tab_JA[N_licence],"so"),"")</f>
        <v/>
      </c>
      <c r="X115" s="32"/>
      <c r="AA115" s="33" t="s">
        <v>2552</v>
      </c>
      <c r="AB115" s="33" t="s">
        <v>2552</v>
      </c>
      <c r="AC115" s="33" t="s">
        <v>2552</v>
      </c>
      <c r="AD115" s="34" t="str">
        <f>IF(X115&lt;&gt;"",SUMIF(Rencontres_N3_PN_Rx[Code_JA],X115,Rencontres_N3_PN_Rx[Frais_JA])-SUMIF(Rencontres_N3_PN_Rx[Code_JA],X115,Rencontres_N3_PN_Rx[frais defiscalisable]),"")</f>
        <v/>
      </c>
      <c r="AE115" s="121" t="str">
        <f>IF(X115&lt;&gt;"",SUMIF(Rencontres_N3_PN_Rx[Code_JA],X115,Rencontres_N3_PN_Rx[frais defiscalisable]),"")</f>
        <v/>
      </c>
    </row>
    <row r="116" spans="1:31" ht="15" customHeight="1" x14ac:dyDescent="0.25">
      <c r="A116" s="19" t="s">
        <v>1077</v>
      </c>
      <c r="B116" s="20" t="s">
        <v>1078</v>
      </c>
      <c r="C116" s="21" t="s">
        <v>1079</v>
      </c>
      <c r="D116" s="21" t="s">
        <v>1080</v>
      </c>
      <c r="E116" s="21" t="s">
        <v>1081</v>
      </c>
      <c r="F116" s="19">
        <v>76116</v>
      </c>
      <c r="G116" s="21" t="s">
        <v>1082</v>
      </c>
      <c r="H116" s="42" t="s">
        <v>1083</v>
      </c>
      <c r="I116" s="43" t="s">
        <v>1084</v>
      </c>
      <c r="J116" s="43" t="s">
        <v>1085</v>
      </c>
      <c r="K116" s="44" t="s">
        <v>775</v>
      </c>
      <c r="L116" s="21" t="s">
        <v>776</v>
      </c>
      <c r="M116" s="19">
        <f>_xlfn.XLOOKUP(tab_JA[[#This Row],[Code]],Rencontres_N3_PN_Rx[Code_JA],Rencontres_N3_PN_Rx[prest],0,0)</f>
        <v>0</v>
      </c>
      <c r="N116" s="19" t="s">
        <v>36</v>
      </c>
      <c r="O116" s="26"/>
      <c r="P116" s="27">
        <f>SUMIF(Rencontres_N3_PN_Rx[Code_JA],tab_JA[[#This Row],[Code]],Rencontres_N3_PN_Rx[Frais_JA])</f>
        <v>0</v>
      </c>
      <c r="W116" s="31" t="str">
        <f>IF(X116&lt;&gt;"",_xlfn.XLOOKUP(X116,tab_JA[Code],tab_JA[N_licence],"so"),"")</f>
        <v/>
      </c>
      <c r="X116" s="32"/>
      <c r="AA116" s="33" t="s">
        <v>2552</v>
      </c>
      <c r="AB116" s="33" t="s">
        <v>2552</v>
      </c>
      <c r="AC116" s="33" t="s">
        <v>2552</v>
      </c>
      <c r="AD116" s="34" t="str">
        <f>IF(X116&lt;&gt;"",SUMIF(Rencontres_N3_PN_Rx[Code_JA],X116,Rencontres_N3_PN_Rx[Frais_JA])-SUMIF(Rencontres_N3_PN_Rx[Code_JA],X116,Rencontres_N3_PN_Rx[frais defiscalisable]),"")</f>
        <v/>
      </c>
      <c r="AE116" s="121" t="str">
        <f>IF(X116&lt;&gt;"",SUMIF(Rencontres_N3_PN_Rx[Code_JA],X116,Rencontres_N3_PN_Rx[frais defiscalisable]),"")</f>
        <v/>
      </c>
    </row>
    <row r="117" spans="1:31" ht="15" customHeight="1" x14ac:dyDescent="0.25">
      <c r="A117" s="19" t="s">
        <v>1096</v>
      </c>
      <c r="B117" s="20" t="s">
        <v>1097</v>
      </c>
      <c r="C117" s="21" t="s">
        <v>1098</v>
      </c>
      <c r="D117" s="21" t="s">
        <v>1099</v>
      </c>
      <c r="E117" s="21" t="s">
        <v>1100</v>
      </c>
      <c r="F117" s="19">
        <v>76170</v>
      </c>
      <c r="G117" s="21" t="s">
        <v>1101</v>
      </c>
      <c r="H117" s="42" t="s">
        <v>1102</v>
      </c>
      <c r="I117" s="43" t="s">
        <v>1103</v>
      </c>
      <c r="J117" s="43" t="s">
        <v>1104</v>
      </c>
      <c r="K117" s="44" t="s">
        <v>1105</v>
      </c>
      <c r="L117" s="21" t="s">
        <v>1106</v>
      </c>
      <c r="M117" s="19">
        <f>_xlfn.XLOOKUP(tab_JA[[#This Row],[Code]],Rencontres_N3_PN_Rx[Code_JA],Rencontres_N3_PN_Rx[prest],0,0)</f>
        <v>0</v>
      </c>
      <c r="N117" s="19" t="s">
        <v>36</v>
      </c>
      <c r="O117" s="26"/>
      <c r="P117" s="27">
        <f>SUMIF(Rencontres_N3_PN_Rx[Code_JA],tab_JA[[#This Row],[Code]],Rencontres_N3_PN_Rx[Frais_JA])</f>
        <v>0</v>
      </c>
      <c r="W117" s="31" t="str">
        <f>IF(X117&lt;&gt;"",_xlfn.XLOOKUP(X117,tab_JA[Code],tab_JA[N_licence],"so"),"")</f>
        <v/>
      </c>
      <c r="X117" s="32"/>
      <c r="AA117" s="33" t="s">
        <v>2552</v>
      </c>
      <c r="AB117" s="33" t="s">
        <v>2552</v>
      </c>
      <c r="AC117" s="33" t="s">
        <v>2552</v>
      </c>
      <c r="AD117" s="34" t="str">
        <f>IF(X117&lt;&gt;"",SUMIF(Rencontres_N3_PN_Rx[Code_JA],X117,Rencontres_N3_PN_Rx[Frais_JA])-SUMIF(Rencontres_N3_PN_Rx[Code_JA],X117,Rencontres_N3_PN_Rx[frais defiscalisable]),"")</f>
        <v/>
      </c>
      <c r="AE117" s="121" t="str">
        <f>IF(X117&lt;&gt;"",SUMIF(Rencontres_N3_PN_Rx[Code_JA],X117,Rencontres_N3_PN_Rx[frais defiscalisable]),"")</f>
        <v/>
      </c>
    </row>
    <row r="118" spans="1:31" ht="15" customHeight="1" x14ac:dyDescent="0.25">
      <c r="A118" s="19" t="s">
        <v>1086</v>
      </c>
      <c r="B118" s="20" t="s">
        <v>1087</v>
      </c>
      <c r="C118" s="21" t="s">
        <v>1088</v>
      </c>
      <c r="D118" s="21" t="s">
        <v>1089</v>
      </c>
      <c r="E118" s="21" t="s">
        <v>1090</v>
      </c>
      <c r="F118" s="19">
        <v>76510</v>
      </c>
      <c r="G118" s="21" t="s">
        <v>1091</v>
      </c>
      <c r="H118" s="42" t="s">
        <v>1092</v>
      </c>
      <c r="I118" s="43"/>
      <c r="J118" s="43" t="s">
        <v>1093</v>
      </c>
      <c r="K118" s="44" t="s">
        <v>1094</v>
      </c>
      <c r="L118" s="21" t="s">
        <v>1095</v>
      </c>
      <c r="M118" s="19">
        <f>_xlfn.XLOOKUP(tab_JA[[#This Row],[Code]],Rencontres_N3_PN_Rx[Code_JA],Rencontres_N3_PN_Rx[prest],0,0)</f>
        <v>0</v>
      </c>
      <c r="N118" s="19" t="s">
        <v>36</v>
      </c>
      <c r="O118" s="26"/>
      <c r="P118" s="27">
        <f>SUMIF(Rencontres_N3_PN_Rx[Code_JA],tab_JA[[#This Row],[Code]],Rencontres_N3_PN_Rx[Frais_JA])</f>
        <v>0</v>
      </c>
      <c r="W118" s="31" t="str">
        <f>IF(X118&lt;&gt;"",_xlfn.XLOOKUP(X118,tab_JA[Code],tab_JA[N_licence],"so"),"")</f>
        <v/>
      </c>
      <c r="X118" s="32"/>
      <c r="AA118" s="33" t="s">
        <v>2552</v>
      </c>
      <c r="AB118" s="33" t="s">
        <v>2552</v>
      </c>
      <c r="AC118" s="33" t="s">
        <v>2552</v>
      </c>
      <c r="AD118" s="34" t="str">
        <f>IF(X118&lt;&gt;"",SUMIF(Rencontres_N3_PN_Rx[Code_JA],X118,Rencontres_N3_PN_Rx[Frais_JA])-SUMIF(Rencontres_N3_PN_Rx[Code_JA],X118,Rencontres_N3_PN_Rx[frais defiscalisable]),"")</f>
        <v/>
      </c>
      <c r="AE118" s="121" t="str">
        <f>IF(X118&lt;&gt;"",SUMIF(Rencontres_N3_PN_Rx[Code_JA],X118,Rencontres_N3_PN_Rx[frais defiscalisable]),"")</f>
        <v/>
      </c>
    </row>
    <row r="119" spans="1:31" ht="15" customHeight="1" x14ac:dyDescent="0.25">
      <c r="A119" s="19" t="s">
        <v>1150</v>
      </c>
      <c r="B119" s="20" t="s">
        <v>1151</v>
      </c>
      <c r="C119" s="21" t="s">
        <v>1152</v>
      </c>
      <c r="D119" s="21" t="s">
        <v>628</v>
      </c>
      <c r="E119" s="21" t="s">
        <v>1153</v>
      </c>
      <c r="F119" s="19">
        <v>50380</v>
      </c>
      <c r="G119" s="21" t="s">
        <v>1154</v>
      </c>
      <c r="H119" s="42" t="s">
        <v>1155</v>
      </c>
      <c r="I119" s="43" t="s">
        <v>1156</v>
      </c>
      <c r="J119" s="43" t="s">
        <v>1157</v>
      </c>
      <c r="K119" s="44" t="s">
        <v>189</v>
      </c>
      <c r="L119" s="21" t="s">
        <v>190</v>
      </c>
      <c r="M119" s="19">
        <f>_xlfn.XLOOKUP(tab_JA[[#This Row],[Code]],Rencontres_N3_PN_Rx[Code_JA],Rencontres_N3_PN_Rx[prest],0,0)</f>
        <v>12</v>
      </c>
      <c r="N119" s="19" t="s">
        <v>36</v>
      </c>
      <c r="O119" s="26"/>
      <c r="P119" s="27">
        <f>SUMIF(Rencontres_N3_PN_Rx[Code_JA],tab_JA[[#This Row],[Code]],Rencontres_N3_PN_Rx[Frais_JA])</f>
        <v>546</v>
      </c>
      <c r="W119" s="31" t="str">
        <f>IF(X119&lt;&gt;"",_xlfn.XLOOKUP(X119,tab_JA[Code],tab_JA[N_licence],"so"),"")</f>
        <v/>
      </c>
      <c r="X119" s="32"/>
      <c r="AA119" s="33" t="s">
        <v>2552</v>
      </c>
      <c r="AB119" s="33" t="s">
        <v>2552</v>
      </c>
      <c r="AC119" s="33" t="s">
        <v>2552</v>
      </c>
      <c r="AD119" s="34" t="str">
        <f>IF(X119&lt;&gt;"",SUMIF(Rencontres_N3_PN_Rx[Code_JA],X119,Rencontres_N3_PN_Rx[Frais_JA])-SUMIF(Rencontres_N3_PN_Rx[Code_JA],X119,Rencontres_N3_PN_Rx[frais defiscalisable]),"")</f>
        <v/>
      </c>
      <c r="AE119" s="121" t="str">
        <f>IF(X119&lt;&gt;"",SUMIF(Rencontres_N3_PN_Rx[Code_JA],X119,Rencontres_N3_PN_Rx[frais defiscalisable]),"")</f>
        <v/>
      </c>
    </row>
    <row r="120" spans="1:31" ht="15" customHeight="1" x14ac:dyDescent="0.25">
      <c r="A120" s="19" t="s">
        <v>1118</v>
      </c>
      <c r="B120" s="20" t="s">
        <v>1119</v>
      </c>
      <c r="C120" s="21" t="s">
        <v>1120</v>
      </c>
      <c r="D120" s="21" t="s">
        <v>1121</v>
      </c>
      <c r="E120" s="21" t="s">
        <v>1122</v>
      </c>
      <c r="F120" s="19">
        <v>78330</v>
      </c>
      <c r="G120" s="21" t="s">
        <v>1123</v>
      </c>
      <c r="H120" s="42" t="s">
        <v>1124</v>
      </c>
      <c r="I120" s="43"/>
      <c r="J120" s="43" t="s">
        <v>1125</v>
      </c>
      <c r="K120" s="44" t="s">
        <v>199</v>
      </c>
      <c r="L120" s="21" t="s">
        <v>200</v>
      </c>
      <c r="M120" s="19">
        <f>_xlfn.XLOOKUP(tab_JA[[#This Row],[Code]],Rencontres_N3_PN_Rx[Code_JA],Rencontres_N3_PN_Rx[prest],0,0)</f>
        <v>0</v>
      </c>
      <c r="N120" s="19" t="s">
        <v>36</v>
      </c>
      <c r="O120" s="26"/>
      <c r="P120" s="27">
        <f>SUMIF(Rencontres_N3_PN_Rx[Code_JA],tab_JA[[#This Row],[Code]],Rencontres_N3_PN_Rx[Frais_JA])</f>
        <v>0</v>
      </c>
      <c r="W120" s="31" t="str">
        <f>IF(X120&lt;&gt;"",_xlfn.XLOOKUP(X120,tab_JA[Code],tab_JA[N_licence],"so"),"")</f>
        <v/>
      </c>
      <c r="X120" s="32"/>
      <c r="AA120" s="33" t="s">
        <v>2552</v>
      </c>
      <c r="AB120" s="33" t="s">
        <v>2552</v>
      </c>
      <c r="AC120" s="33" t="s">
        <v>2552</v>
      </c>
      <c r="AD120" s="34" t="str">
        <f>IF(X120&lt;&gt;"",SUMIF(Rencontres_N3_PN_Rx[Code_JA],X120,Rencontres_N3_PN_Rx[Frais_JA])-SUMIF(Rencontres_N3_PN_Rx[Code_JA],X120,Rencontres_N3_PN_Rx[frais defiscalisable]),"")</f>
        <v/>
      </c>
      <c r="AE120" s="121" t="str">
        <f>IF(X120&lt;&gt;"",SUMIF(Rencontres_N3_PN_Rx[Code_JA],X120,Rencontres_N3_PN_Rx[frais defiscalisable]),"")</f>
        <v/>
      </c>
    </row>
    <row r="121" spans="1:31" ht="15" customHeight="1" x14ac:dyDescent="0.25">
      <c r="A121" s="19" t="s">
        <v>1135</v>
      </c>
      <c r="B121" s="20" t="s">
        <v>1136</v>
      </c>
      <c r="C121" s="21" t="s">
        <v>1137</v>
      </c>
      <c r="D121" s="21" t="s">
        <v>1138</v>
      </c>
      <c r="E121" s="21" t="s">
        <v>1139</v>
      </c>
      <c r="F121" s="19">
        <v>76410</v>
      </c>
      <c r="G121" s="21" t="s">
        <v>1140</v>
      </c>
      <c r="H121" s="42" t="s">
        <v>1141</v>
      </c>
      <c r="I121" s="43"/>
      <c r="J121" s="43" t="s">
        <v>1142</v>
      </c>
      <c r="K121" s="44" t="s">
        <v>414</v>
      </c>
      <c r="L121" s="21" t="s">
        <v>415</v>
      </c>
      <c r="M121" s="19">
        <f>_xlfn.XLOOKUP(tab_JA[[#This Row],[Code]],Rencontres_N3_PN_Rx[Code_JA],Rencontres_N3_PN_Rx[prest],0,0)</f>
        <v>0</v>
      </c>
      <c r="N121" s="19" t="s">
        <v>36</v>
      </c>
      <c r="O121" s="26"/>
      <c r="P121" s="27">
        <f>SUMIF(Rencontres_N3_PN_Rx[Code_JA],tab_JA[[#This Row],[Code]],Rencontres_N3_PN_Rx[Frais_JA])</f>
        <v>0</v>
      </c>
      <c r="W121" s="31" t="str">
        <f>IF(X121&lt;&gt;"",_xlfn.XLOOKUP(X121,tab_JA[Code],tab_JA[N_licence],"so"),"")</f>
        <v/>
      </c>
      <c r="X121" s="32"/>
      <c r="AA121" s="33" t="s">
        <v>2552</v>
      </c>
      <c r="AB121" s="33" t="s">
        <v>2552</v>
      </c>
      <c r="AC121" s="33" t="s">
        <v>2552</v>
      </c>
      <c r="AD121" s="34" t="str">
        <f>IF(X121&lt;&gt;"",SUMIF(Rencontres_N3_PN_Rx[Code_JA],X121,Rencontres_N3_PN_Rx[Frais_JA])-SUMIF(Rencontres_N3_PN_Rx[Code_JA],X121,Rencontres_N3_PN_Rx[frais defiscalisable]),"")</f>
        <v/>
      </c>
      <c r="AE121" s="121" t="str">
        <f>IF(X121&lt;&gt;"",SUMIF(Rencontres_N3_PN_Rx[Code_JA],X121,Rencontres_N3_PN_Rx[frais defiscalisable]),"")</f>
        <v/>
      </c>
    </row>
    <row r="122" spans="1:31" ht="15" customHeight="1" x14ac:dyDescent="0.25">
      <c r="A122" s="19" t="s">
        <v>3287</v>
      </c>
      <c r="B122" s="20" t="s">
        <v>1126</v>
      </c>
      <c r="C122" s="21" t="s">
        <v>1127</v>
      </c>
      <c r="D122" s="21" t="s">
        <v>463</v>
      </c>
      <c r="E122" s="21" t="s">
        <v>1128</v>
      </c>
      <c r="F122" s="19">
        <v>14700</v>
      </c>
      <c r="G122" s="21" t="s">
        <v>1129</v>
      </c>
      <c r="H122" s="42" t="s">
        <v>1130</v>
      </c>
      <c r="I122" s="43" t="s">
        <v>1131</v>
      </c>
      <c r="J122" s="43" t="s">
        <v>1132</v>
      </c>
      <c r="K122" s="44" t="s">
        <v>1133</v>
      </c>
      <c r="L122" s="21" t="s">
        <v>1134</v>
      </c>
      <c r="M122" s="19">
        <f>_xlfn.XLOOKUP(tab_JA[[#This Row],[Code]],Rencontres_N3_PN_Rx[Code_JA],Rencontres_N3_PN_Rx[prest],0,0)</f>
        <v>0</v>
      </c>
      <c r="N122" s="19" t="s">
        <v>36</v>
      </c>
      <c r="O122" s="26"/>
      <c r="P122" s="27">
        <f>SUMIF(Rencontres_N3_PN_Rx[Code_JA],tab_JA[[#This Row],[Code]],Rencontres_N3_PN_Rx[Frais_JA])</f>
        <v>0</v>
      </c>
      <c r="W122" s="31" t="str">
        <f>IF(X122&lt;&gt;"",_xlfn.XLOOKUP(X122,tab_JA[Code],tab_JA[N_licence],"so"),"")</f>
        <v/>
      </c>
      <c r="X122" s="32"/>
      <c r="AA122" s="33" t="s">
        <v>2552</v>
      </c>
      <c r="AB122" s="33" t="s">
        <v>2552</v>
      </c>
      <c r="AC122" s="33" t="s">
        <v>2552</v>
      </c>
      <c r="AD122" s="34" t="str">
        <f>IF(X122&lt;&gt;"",SUMIF(Rencontres_N3_PN_Rx[Code_JA],X122,Rencontres_N3_PN_Rx[Frais_JA])-SUMIF(Rencontres_N3_PN_Rx[Code_JA],X122,Rencontres_N3_PN_Rx[frais defiscalisable]),"")</f>
        <v/>
      </c>
      <c r="AE122" s="121" t="str">
        <f>IF(X122&lt;&gt;"",SUMIF(Rencontres_N3_PN_Rx[Code_JA],X122,Rencontres_N3_PN_Rx[frais defiscalisable]),"")</f>
        <v/>
      </c>
    </row>
    <row r="123" spans="1:31" ht="15" customHeight="1" x14ac:dyDescent="0.25">
      <c r="A123" s="19" t="s">
        <v>1143</v>
      </c>
      <c r="B123" s="46" t="s">
        <v>1144</v>
      </c>
      <c r="C123" s="21" t="s">
        <v>1145</v>
      </c>
      <c r="D123" s="21" t="s">
        <v>1146</v>
      </c>
      <c r="E123" s="21" t="s">
        <v>1147</v>
      </c>
      <c r="F123" s="19">
        <v>76140</v>
      </c>
      <c r="G123" s="21" t="s">
        <v>929</v>
      </c>
      <c r="H123" s="42" t="s">
        <v>1148</v>
      </c>
      <c r="I123" s="43"/>
      <c r="J123" s="43" t="s">
        <v>1149</v>
      </c>
      <c r="K123" s="45" t="s">
        <v>414</v>
      </c>
      <c r="L123" s="21" t="s">
        <v>415</v>
      </c>
      <c r="M123" s="19">
        <f>_xlfn.XLOOKUP(tab_JA[[#This Row],[Code]],Rencontres_N3_PN_Rx[Code_JA],Rencontres_N3_PN_Rx[prest],0,0)</f>
        <v>0</v>
      </c>
      <c r="N123" s="19" t="s">
        <v>36</v>
      </c>
      <c r="O123" s="26"/>
      <c r="P123" s="27">
        <f>SUMIF(Rencontres_N3_PN_Rx[Code_JA],tab_JA[[#This Row],[Code]],Rencontres_N3_PN_Rx[Frais_JA])</f>
        <v>0</v>
      </c>
      <c r="W123" s="31" t="str">
        <f>IF(X123&lt;&gt;"",_xlfn.XLOOKUP(X123,tab_JA[Code],tab_JA[N_licence],"so"),"")</f>
        <v/>
      </c>
      <c r="X123" s="32"/>
      <c r="AA123" s="33" t="s">
        <v>2552</v>
      </c>
      <c r="AB123" s="33" t="s">
        <v>2552</v>
      </c>
      <c r="AC123" s="33" t="s">
        <v>2552</v>
      </c>
      <c r="AD123" s="34" t="str">
        <f>IF(X123&lt;&gt;"",SUMIF(Rencontres_N3_PN_Rx[Code_JA],X123,Rencontres_N3_PN_Rx[Frais_JA])-SUMIF(Rencontres_N3_PN_Rx[Code_JA],X123,Rencontres_N3_PN_Rx[frais defiscalisable]),"")</f>
        <v/>
      </c>
      <c r="AE123" s="121" t="str">
        <f>IF(X123&lt;&gt;"",SUMIF(Rencontres_N3_PN_Rx[Code_JA],X123,Rencontres_N3_PN_Rx[frais defiscalisable]),"")</f>
        <v/>
      </c>
    </row>
    <row r="124" spans="1:31" ht="15" customHeight="1" x14ac:dyDescent="0.25">
      <c r="A124" s="19" t="s">
        <v>1107</v>
      </c>
      <c r="B124" s="20" t="s">
        <v>1108</v>
      </c>
      <c r="C124" s="21" t="s">
        <v>1109</v>
      </c>
      <c r="D124" s="21" t="s">
        <v>1110</v>
      </c>
      <c r="E124" s="21" t="s">
        <v>1111</v>
      </c>
      <c r="F124" s="19">
        <v>76720</v>
      </c>
      <c r="G124" s="21" t="s">
        <v>1112</v>
      </c>
      <c r="H124" s="42" t="s">
        <v>1113</v>
      </c>
      <c r="I124" s="43" t="s">
        <v>1114</v>
      </c>
      <c r="J124" s="43" t="s">
        <v>1115</v>
      </c>
      <c r="K124" s="44" t="s">
        <v>1116</v>
      </c>
      <c r="L124" s="21" t="s">
        <v>1117</v>
      </c>
      <c r="M124" s="19">
        <f>_xlfn.XLOOKUP(tab_JA[[#This Row],[Code]],Rencontres_N3_PN_Rx[Code_JA],Rencontres_N3_PN_Rx[prest],0,0)</f>
        <v>0</v>
      </c>
      <c r="N124" s="19" t="s">
        <v>36</v>
      </c>
      <c r="O124" s="26"/>
      <c r="P124" s="27">
        <f>SUMIF(Rencontres_N3_PN_Rx[Code_JA],tab_JA[[#This Row],[Code]],Rencontres_N3_PN_Rx[Frais_JA])</f>
        <v>0</v>
      </c>
      <c r="W124" s="31" t="str">
        <f>IF(X124&lt;&gt;"",_xlfn.XLOOKUP(X124,tab_JA[Code],tab_JA[N_licence],"so"),"")</f>
        <v/>
      </c>
      <c r="X124" s="32"/>
      <c r="AA124" s="33" t="s">
        <v>2552</v>
      </c>
      <c r="AB124" s="33" t="s">
        <v>2552</v>
      </c>
      <c r="AC124" s="33" t="s">
        <v>2552</v>
      </c>
      <c r="AD124" s="34" t="str">
        <f>IF(X124&lt;&gt;"",SUMIF(Rencontres_N3_PN_Rx[Code_JA],X124,Rencontres_N3_PN_Rx[Frais_JA])-SUMIF(Rencontres_N3_PN_Rx[Code_JA],X124,Rencontres_N3_PN_Rx[frais defiscalisable]),"")</f>
        <v/>
      </c>
      <c r="AE124" s="121" t="str">
        <f>IF(X124&lt;&gt;"",SUMIF(Rencontres_N3_PN_Rx[Code_JA],X124,Rencontres_N3_PN_Rx[frais defiscalisable]),"")</f>
        <v/>
      </c>
    </row>
    <row r="125" spans="1:31" ht="15" customHeight="1" x14ac:dyDescent="0.25">
      <c r="A125" s="19" t="s">
        <v>3288</v>
      </c>
      <c r="B125" s="20" t="s">
        <v>1158</v>
      </c>
      <c r="C125" s="21" t="s">
        <v>1159</v>
      </c>
      <c r="D125" s="21" t="s">
        <v>1160</v>
      </c>
      <c r="E125" s="21" t="s">
        <v>1161</v>
      </c>
      <c r="F125" s="19">
        <v>76360</v>
      </c>
      <c r="G125" s="21" t="s">
        <v>679</v>
      </c>
      <c r="H125" s="42" t="s">
        <v>1162</v>
      </c>
      <c r="I125" s="43"/>
      <c r="J125" s="43" t="s">
        <v>1163</v>
      </c>
      <c r="K125" s="44" t="s">
        <v>682</v>
      </c>
      <c r="L125" s="21" t="s">
        <v>683</v>
      </c>
      <c r="M125" s="19">
        <f>_xlfn.XLOOKUP(tab_JA[[#This Row],[Code]],Rencontres_N3_PN_Rx[Code_JA],Rencontres_N3_PN_Rx[prest],0,0)</f>
        <v>0</v>
      </c>
      <c r="N125" s="19" t="s">
        <v>36</v>
      </c>
      <c r="O125" s="26"/>
      <c r="P125" s="27">
        <f>SUMIF(Rencontres_N3_PN_Rx[Code_JA],tab_JA[[#This Row],[Code]],Rencontres_N3_PN_Rx[Frais_JA])</f>
        <v>0</v>
      </c>
      <c r="W125" s="31" t="str">
        <f>IF(X125&lt;&gt;"",_xlfn.XLOOKUP(X125,tab_JA[Code],tab_JA[N_licence],"so"),"")</f>
        <v/>
      </c>
      <c r="X125" s="32"/>
      <c r="AA125" s="33" t="s">
        <v>2552</v>
      </c>
      <c r="AB125" s="33" t="s">
        <v>2552</v>
      </c>
      <c r="AC125" s="33" t="s">
        <v>2552</v>
      </c>
      <c r="AD125" s="34" t="str">
        <f>IF(X125&lt;&gt;"",SUMIF(Rencontres_N3_PN_Rx[Code_JA],X125,Rencontres_N3_PN_Rx[Frais_JA])-SUMIF(Rencontres_N3_PN_Rx[Code_JA],X125,Rencontres_N3_PN_Rx[frais defiscalisable]),"")</f>
        <v/>
      </c>
      <c r="AE125" s="121" t="str">
        <f>IF(X125&lt;&gt;"",SUMIF(Rencontres_N3_PN_Rx[Code_JA],X125,Rencontres_N3_PN_Rx[frais defiscalisable]),"")</f>
        <v/>
      </c>
    </row>
    <row r="126" spans="1:31" ht="15" customHeight="1" x14ac:dyDescent="0.25">
      <c r="A126" s="19" t="s">
        <v>3291</v>
      </c>
      <c r="B126" s="46" t="s">
        <v>1188</v>
      </c>
      <c r="C126" s="21" t="s">
        <v>1189</v>
      </c>
      <c r="D126" s="21" t="s">
        <v>1190</v>
      </c>
      <c r="E126" s="21" t="s">
        <v>1191</v>
      </c>
      <c r="F126" s="19">
        <v>78690</v>
      </c>
      <c r="G126" s="21" t="s">
        <v>1192</v>
      </c>
      <c r="H126" s="42" t="s">
        <v>1193</v>
      </c>
      <c r="I126" s="43"/>
      <c r="J126" s="43" t="s">
        <v>1194</v>
      </c>
      <c r="K126" s="45" t="s">
        <v>34</v>
      </c>
      <c r="L126" s="21" t="s">
        <v>35</v>
      </c>
      <c r="M126" s="19">
        <f>_xlfn.XLOOKUP(tab_JA[[#This Row],[Code]],Rencontres_N3_PN_Rx[Code_JA],Rencontres_N3_PN_Rx[prest],0,0)</f>
        <v>0</v>
      </c>
      <c r="N126" s="19" t="s">
        <v>36</v>
      </c>
      <c r="O126" s="26"/>
      <c r="P126" s="27">
        <f>SUMIF(Rencontres_N3_PN_Rx[Code_JA],tab_JA[[#This Row],[Code]],Rencontres_N3_PN_Rx[Frais_JA])</f>
        <v>0</v>
      </c>
      <c r="W126" s="31" t="str">
        <f>IF(X126&lt;&gt;"",_xlfn.XLOOKUP(X126,tab_JA[Code],tab_JA[N_licence],"so"),"")</f>
        <v/>
      </c>
      <c r="X126" s="32"/>
      <c r="AA126" s="33" t="s">
        <v>2552</v>
      </c>
      <c r="AB126" s="33" t="s">
        <v>2552</v>
      </c>
      <c r="AC126" s="33" t="s">
        <v>2552</v>
      </c>
      <c r="AD126" s="34" t="str">
        <f>IF(X126&lt;&gt;"",SUMIF(Rencontres_N3_PN_Rx[Code_JA],X126,Rencontres_N3_PN_Rx[Frais_JA])-SUMIF(Rencontres_N3_PN_Rx[Code_JA],X126,Rencontres_N3_PN_Rx[frais defiscalisable]),"")</f>
        <v/>
      </c>
      <c r="AE126" s="121" t="str">
        <f>IF(X126&lt;&gt;"",SUMIF(Rencontres_N3_PN_Rx[Code_JA],X126,Rencontres_N3_PN_Rx[frais defiscalisable]),"")</f>
        <v/>
      </c>
    </row>
    <row r="127" spans="1:31" ht="15" customHeight="1" x14ac:dyDescent="0.25">
      <c r="A127" s="19" t="s">
        <v>3290</v>
      </c>
      <c r="B127" s="20" t="s">
        <v>1172</v>
      </c>
      <c r="C127" s="21" t="s">
        <v>1173</v>
      </c>
      <c r="D127" s="21" t="s">
        <v>438</v>
      </c>
      <c r="E127" s="21" t="s">
        <v>1174</v>
      </c>
      <c r="F127" s="19">
        <v>50810</v>
      </c>
      <c r="G127" s="21" t="s">
        <v>1175</v>
      </c>
      <c r="H127" s="42" t="s">
        <v>1176</v>
      </c>
      <c r="I127" s="43" t="s">
        <v>1177</v>
      </c>
      <c r="J127" s="43" t="s">
        <v>1178</v>
      </c>
      <c r="K127" s="44" t="s">
        <v>1179</v>
      </c>
      <c r="L127" s="21" t="s">
        <v>1180</v>
      </c>
      <c r="M127" s="19">
        <f>_xlfn.XLOOKUP(tab_JA[[#This Row],[Code]],Rencontres_N3_PN_Rx[Code_JA],Rencontres_N3_PN_Rx[prest],0,0)</f>
        <v>0</v>
      </c>
      <c r="N127" s="19" t="s">
        <v>36</v>
      </c>
      <c r="O127" s="26"/>
      <c r="P127" s="27">
        <f>SUMIF(Rencontres_N3_PN_Rx[Code_JA],tab_JA[[#This Row],[Code]],Rencontres_N3_PN_Rx[Frais_JA])</f>
        <v>0</v>
      </c>
      <c r="W127" s="31" t="str">
        <f>IF(X127&lt;&gt;"",_xlfn.XLOOKUP(X127,tab_JA[Code],tab_JA[N_licence],"so"),"")</f>
        <v/>
      </c>
      <c r="X127" s="32"/>
      <c r="AA127" s="33" t="s">
        <v>2552</v>
      </c>
      <c r="AB127" s="33" t="s">
        <v>2552</v>
      </c>
      <c r="AC127" s="33" t="s">
        <v>2552</v>
      </c>
      <c r="AD127" s="34" t="str">
        <f>IF(X127&lt;&gt;"",SUMIF(Rencontres_N3_PN_Rx[Code_JA],X127,Rencontres_N3_PN_Rx[Frais_JA])-SUMIF(Rencontres_N3_PN_Rx[Code_JA],X127,Rencontres_N3_PN_Rx[frais defiscalisable]),"")</f>
        <v/>
      </c>
      <c r="AE127" s="121" t="str">
        <f>IF(X127&lt;&gt;"",SUMIF(Rencontres_N3_PN_Rx[Code_JA],X127,Rencontres_N3_PN_Rx[frais defiscalisable]),"")</f>
        <v/>
      </c>
    </row>
    <row r="128" spans="1:31" ht="15" customHeight="1" x14ac:dyDescent="0.25">
      <c r="A128" s="19" t="s">
        <v>1205</v>
      </c>
      <c r="B128" s="20" t="s">
        <v>1206</v>
      </c>
      <c r="C128" s="21" t="s">
        <v>1207</v>
      </c>
      <c r="D128" s="21" t="s">
        <v>1208</v>
      </c>
      <c r="E128" s="21" t="s">
        <v>1209</v>
      </c>
      <c r="F128" s="19">
        <v>50160</v>
      </c>
      <c r="G128" s="21" t="s">
        <v>1210</v>
      </c>
      <c r="H128" s="42" t="s">
        <v>1211</v>
      </c>
      <c r="I128" s="43"/>
      <c r="J128" s="43" t="s">
        <v>1212</v>
      </c>
      <c r="K128" s="44" t="s">
        <v>1213</v>
      </c>
      <c r="L128" s="21" t="s">
        <v>1214</v>
      </c>
      <c r="M128" s="19">
        <f>_xlfn.XLOOKUP(tab_JA[[#This Row],[Code]],Rencontres_N3_PN_Rx[Code_JA],Rencontres_N3_PN_Rx[prest],0,0)</f>
        <v>2</v>
      </c>
      <c r="N128" s="19" t="s">
        <v>36</v>
      </c>
      <c r="O128" s="26"/>
      <c r="P128" s="27">
        <f>SUMIF(Rencontres_N3_PN_Rx[Code_JA],tab_JA[[#This Row],[Code]],Rencontres_N3_PN_Rx[Frais_JA])</f>
        <v>0</v>
      </c>
      <c r="W128" s="31" t="str">
        <f>IF(X128&lt;&gt;"",_xlfn.XLOOKUP(X128,tab_JA[Code],tab_JA[N_licence],"so"),"")</f>
        <v/>
      </c>
      <c r="X128" s="32"/>
      <c r="AA128" s="33" t="s">
        <v>2552</v>
      </c>
      <c r="AB128" s="33" t="s">
        <v>2552</v>
      </c>
      <c r="AC128" s="33" t="s">
        <v>2552</v>
      </c>
      <c r="AD128" s="34" t="str">
        <f>IF(X128&lt;&gt;"",SUMIF(Rencontres_N3_PN_Rx[Code_JA],X128,Rencontres_N3_PN_Rx[Frais_JA])-SUMIF(Rencontres_N3_PN_Rx[Code_JA],X128,Rencontres_N3_PN_Rx[frais defiscalisable]),"")</f>
        <v/>
      </c>
      <c r="AE128" s="121" t="str">
        <f>IF(X128&lt;&gt;"",SUMIF(Rencontres_N3_PN_Rx[Code_JA],X128,Rencontres_N3_PN_Rx[frais defiscalisable]),"")</f>
        <v/>
      </c>
    </row>
    <row r="129" spans="1:31" ht="15" customHeight="1" x14ac:dyDescent="0.25">
      <c r="A129" s="19" t="s">
        <v>3289</v>
      </c>
      <c r="B129" s="20" t="s">
        <v>1164</v>
      </c>
      <c r="C129" s="21" t="s">
        <v>1165</v>
      </c>
      <c r="D129" s="21" t="s">
        <v>1070</v>
      </c>
      <c r="E129" s="21" t="s">
        <v>1166</v>
      </c>
      <c r="F129" s="19">
        <v>27370</v>
      </c>
      <c r="G129" s="21" t="s">
        <v>1167</v>
      </c>
      <c r="H129" s="42" t="s">
        <v>1168</v>
      </c>
      <c r="I129" s="43"/>
      <c r="J129" s="43" t="s">
        <v>1169</v>
      </c>
      <c r="K129" s="44" t="s">
        <v>1170</v>
      </c>
      <c r="L129" s="21" t="s">
        <v>1171</v>
      </c>
      <c r="M129" s="19">
        <f>_xlfn.XLOOKUP(tab_JA[[#This Row],[Code]],Rencontres_N3_PN_Rx[Code_JA],Rencontres_N3_PN_Rx[prest],0,0)</f>
        <v>0</v>
      </c>
      <c r="N129" s="19" t="s">
        <v>36</v>
      </c>
      <c r="O129" s="26"/>
      <c r="P129" s="27">
        <f>SUMIF(Rencontres_N3_PN_Rx[Code_JA],tab_JA[[#This Row],[Code]],Rencontres_N3_PN_Rx[Frais_JA])</f>
        <v>0</v>
      </c>
      <c r="W129" s="31" t="str">
        <f>IF(X129&lt;&gt;"",_xlfn.XLOOKUP(X129,tab_JA[Code],tab_JA[N_licence],"so"),"")</f>
        <v/>
      </c>
      <c r="X129" s="32"/>
      <c r="AA129" s="33" t="s">
        <v>2552</v>
      </c>
      <c r="AB129" s="33" t="s">
        <v>2552</v>
      </c>
      <c r="AC129" s="33" t="s">
        <v>2552</v>
      </c>
      <c r="AD129" s="34" t="str">
        <f>IF(X129&lt;&gt;"",SUMIF(Rencontres_N3_PN_Rx[Code_JA],X129,Rencontres_N3_PN_Rx[Frais_JA])-SUMIF(Rencontres_N3_PN_Rx[Code_JA],X129,Rencontres_N3_PN_Rx[frais defiscalisable]),"")</f>
        <v/>
      </c>
      <c r="AE129" s="121" t="str">
        <f>IF(X129&lt;&gt;"",SUMIF(Rencontres_N3_PN_Rx[Code_JA],X129,Rencontres_N3_PN_Rx[frais defiscalisable]),"")</f>
        <v/>
      </c>
    </row>
    <row r="130" spans="1:31" ht="15" customHeight="1" x14ac:dyDescent="0.25">
      <c r="A130" s="19" t="s">
        <v>3292</v>
      </c>
      <c r="B130" s="20" t="s">
        <v>1195</v>
      </c>
      <c r="C130" s="21" t="s">
        <v>1196</v>
      </c>
      <c r="D130" s="21" t="s">
        <v>1197</v>
      </c>
      <c r="E130" s="21" t="s">
        <v>1198</v>
      </c>
      <c r="F130" s="19">
        <v>14400</v>
      </c>
      <c r="G130" s="21" t="s">
        <v>1199</v>
      </c>
      <c r="H130" s="42" t="s">
        <v>1200</v>
      </c>
      <c r="I130" s="43" t="s">
        <v>1201</v>
      </c>
      <c r="J130" s="43" t="s">
        <v>1202</v>
      </c>
      <c r="K130" s="44" t="s">
        <v>1203</v>
      </c>
      <c r="L130" s="21" t="s">
        <v>1204</v>
      </c>
      <c r="M130" s="19">
        <f>_xlfn.XLOOKUP(tab_JA[[#This Row],[Code]],Rencontres_N3_PN_Rx[Code_JA],Rencontres_N3_PN_Rx[prest],0,0)</f>
        <v>0</v>
      </c>
      <c r="N130" s="19" t="s">
        <v>36</v>
      </c>
      <c r="O130" s="26"/>
      <c r="P130" s="27">
        <f>SUMIF(Rencontres_N3_PN_Rx[Code_JA],tab_JA[[#This Row],[Code]],Rencontres_N3_PN_Rx[Frais_JA])</f>
        <v>0</v>
      </c>
      <c r="W130" s="31" t="str">
        <f>IF(X130&lt;&gt;"",_xlfn.XLOOKUP(X130,tab_JA[Code],tab_JA[N_licence],"so"),"")</f>
        <v/>
      </c>
      <c r="X130" s="32"/>
      <c r="AA130" s="33" t="s">
        <v>2552</v>
      </c>
      <c r="AB130" s="33" t="s">
        <v>2552</v>
      </c>
      <c r="AC130" s="33" t="s">
        <v>2552</v>
      </c>
      <c r="AD130" s="34" t="str">
        <f>IF(X130&lt;&gt;"",SUMIF(Rencontres_N3_PN_Rx[Code_JA],X130,Rencontres_N3_PN_Rx[Frais_JA])-SUMIF(Rencontres_N3_PN_Rx[Code_JA],X130,Rencontres_N3_PN_Rx[frais defiscalisable]),"")</f>
        <v/>
      </c>
      <c r="AE130" s="121" t="str">
        <f>IF(X130&lt;&gt;"",SUMIF(Rencontres_N3_PN_Rx[Code_JA],X130,Rencontres_N3_PN_Rx[frais defiscalisable]),"")</f>
        <v/>
      </c>
    </row>
    <row r="131" spans="1:31" ht="15" customHeight="1" x14ac:dyDescent="0.25">
      <c r="A131" s="19" t="s">
        <v>1181</v>
      </c>
      <c r="B131" s="20" t="s">
        <v>1182</v>
      </c>
      <c r="C131" s="21" t="s">
        <v>1183</v>
      </c>
      <c r="D131" s="21" t="s">
        <v>361</v>
      </c>
      <c r="E131" s="21" t="s">
        <v>1184</v>
      </c>
      <c r="F131" s="19">
        <v>50200</v>
      </c>
      <c r="G131" s="21" t="s">
        <v>1185</v>
      </c>
      <c r="H131" s="42" t="s">
        <v>1186</v>
      </c>
      <c r="I131" s="43"/>
      <c r="J131" s="43" t="s">
        <v>1187</v>
      </c>
      <c r="K131" s="44" t="s">
        <v>98</v>
      </c>
      <c r="L131" s="21" t="s">
        <v>99</v>
      </c>
      <c r="M131" s="19">
        <f>_xlfn.XLOOKUP(tab_JA[[#This Row],[Code]],Rencontres_N3_PN_Rx[Code_JA],Rencontres_N3_PN_Rx[prest],0,0)</f>
        <v>3</v>
      </c>
      <c r="N131" s="19" t="s">
        <v>36</v>
      </c>
      <c r="O131" s="26"/>
      <c r="P131" s="27">
        <f>SUMIF(Rencontres_N3_PN_Rx[Code_JA],tab_JA[[#This Row],[Code]],Rencontres_N3_PN_Rx[Frais_JA])</f>
        <v>0</v>
      </c>
      <c r="W131" s="31" t="str">
        <f>IF(X131&lt;&gt;"",_xlfn.XLOOKUP(X131,tab_JA[Code],tab_JA[N_licence],"so"),"")</f>
        <v/>
      </c>
      <c r="X131" s="32"/>
      <c r="AA131" s="33" t="s">
        <v>2552</v>
      </c>
      <c r="AB131" s="33" t="s">
        <v>2552</v>
      </c>
      <c r="AC131" s="33" t="s">
        <v>2552</v>
      </c>
      <c r="AD131" s="34" t="str">
        <f>IF(X131&lt;&gt;"",SUMIF(Rencontres_N3_PN_Rx[Code_JA],X131,Rencontres_N3_PN_Rx[Frais_JA])-SUMIF(Rencontres_N3_PN_Rx[Code_JA],X131,Rencontres_N3_PN_Rx[frais defiscalisable]),"")</f>
        <v/>
      </c>
      <c r="AE131" s="121" t="str">
        <f>IF(X131&lt;&gt;"",SUMIF(Rencontres_N3_PN_Rx[Code_JA],X131,Rencontres_N3_PN_Rx[frais defiscalisable]),"")</f>
        <v/>
      </c>
    </row>
    <row r="132" spans="1:31" ht="15" customHeight="1" x14ac:dyDescent="0.25">
      <c r="A132" s="19" t="s">
        <v>3293</v>
      </c>
      <c r="B132" s="20" t="s">
        <v>1215</v>
      </c>
      <c r="C132" s="21" t="s">
        <v>1216</v>
      </c>
      <c r="D132" s="21" t="s">
        <v>591</v>
      </c>
      <c r="E132" s="21" t="s">
        <v>1217</v>
      </c>
      <c r="F132" s="19">
        <v>27760</v>
      </c>
      <c r="G132" s="21" t="s">
        <v>1218</v>
      </c>
      <c r="H132" s="42" t="s">
        <v>1219</v>
      </c>
      <c r="I132" s="43" t="s">
        <v>1220</v>
      </c>
      <c r="J132" s="43" t="s">
        <v>1221</v>
      </c>
      <c r="K132" s="44" t="s">
        <v>1222</v>
      </c>
      <c r="L132" s="21" t="s">
        <v>1223</v>
      </c>
      <c r="M132" s="19">
        <f>_xlfn.XLOOKUP(tab_JA[[#This Row],[Code]],Rencontres_N3_PN_Rx[Code_JA],Rencontres_N3_PN_Rx[prest],0,0)</f>
        <v>0</v>
      </c>
      <c r="N132" s="19" t="s">
        <v>36</v>
      </c>
      <c r="O132" s="26"/>
      <c r="P132" s="27">
        <f>SUMIF(Rencontres_N3_PN_Rx[Code_JA],tab_JA[[#This Row],[Code]],Rencontres_N3_PN_Rx[Frais_JA])</f>
        <v>0</v>
      </c>
      <c r="W132" s="31" t="str">
        <f>IF(X132&lt;&gt;"",_xlfn.XLOOKUP(X132,tab_JA[Code],tab_JA[N_licence],"so"),"")</f>
        <v/>
      </c>
      <c r="X132" s="32"/>
      <c r="AA132" s="33" t="s">
        <v>2552</v>
      </c>
      <c r="AB132" s="33" t="s">
        <v>2552</v>
      </c>
      <c r="AC132" s="33" t="s">
        <v>2552</v>
      </c>
      <c r="AD132" s="34" t="str">
        <f>IF(X132&lt;&gt;"",SUMIF(Rencontres_N3_PN_Rx[Code_JA],X132,Rencontres_N3_PN_Rx[Frais_JA])-SUMIF(Rencontres_N3_PN_Rx[Code_JA],X132,Rencontres_N3_PN_Rx[frais defiscalisable]),"")</f>
        <v/>
      </c>
      <c r="AE132" s="121" t="str">
        <f>IF(X132&lt;&gt;"",SUMIF(Rencontres_N3_PN_Rx[Code_JA],X132,Rencontres_N3_PN_Rx[frais defiscalisable]),"")</f>
        <v/>
      </c>
    </row>
    <row r="133" spans="1:31" ht="15" customHeight="1" x14ac:dyDescent="0.25">
      <c r="A133" s="19" t="s">
        <v>1224</v>
      </c>
      <c r="B133" s="20" t="s">
        <v>1225</v>
      </c>
      <c r="C133" s="21" t="s">
        <v>1226</v>
      </c>
      <c r="D133" s="21" t="s">
        <v>1227</v>
      </c>
      <c r="E133" s="21" t="s">
        <v>1228</v>
      </c>
      <c r="F133" s="19">
        <v>76190</v>
      </c>
      <c r="G133" s="21" t="s">
        <v>331</v>
      </c>
      <c r="H133" s="42" t="s">
        <v>1229</v>
      </c>
      <c r="I133" s="43" t="s">
        <v>1230</v>
      </c>
      <c r="J133" s="43" t="s">
        <v>1231</v>
      </c>
      <c r="K133" s="44" t="s">
        <v>335</v>
      </c>
      <c r="L133" s="21" t="s">
        <v>336</v>
      </c>
      <c r="M133" s="19">
        <f>_xlfn.XLOOKUP(tab_JA[[#This Row],[Code]],Rencontres_N3_PN_Rx[Code_JA],Rencontres_N3_PN_Rx[prest],0,0)</f>
        <v>0</v>
      </c>
      <c r="N133" s="19" t="s">
        <v>36</v>
      </c>
      <c r="O133" s="26"/>
      <c r="P133" s="27">
        <f>SUMIF(Rencontres_N3_PN_Rx[Code_JA],tab_JA[[#This Row],[Code]],Rencontres_N3_PN_Rx[Frais_JA])</f>
        <v>0</v>
      </c>
      <c r="W133" s="31" t="str">
        <f>IF(X133&lt;&gt;"",_xlfn.XLOOKUP(X133,tab_JA[Code],tab_JA[N_licence],"so"),"")</f>
        <v/>
      </c>
      <c r="X133" s="32"/>
      <c r="AA133" s="33" t="s">
        <v>2552</v>
      </c>
      <c r="AB133" s="33" t="s">
        <v>2552</v>
      </c>
      <c r="AC133" s="33" t="s">
        <v>2552</v>
      </c>
      <c r="AD133" s="34" t="str">
        <f>IF(X133&lt;&gt;"",SUMIF(Rencontres_N3_PN_Rx[Code_JA],X133,Rencontres_N3_PN_Rx[Frais_JA])-SUMIF(Rencontres_N3_PN_Rx[Code_JA],X133,Rencontres_N3_PN_Rx[frais defiscalisable]),"")</f>
        <v/>
      </c>
      <c r="AE133" s="121" t="str">
        <f>IF(X133&lt;&gt;"",SUMIF(Rencontres_N3_PN_Rx[Code_JA],X133,Rencontres_N3_PN_Rx[frais defiscalisable]),"")</f>
        <v/>
      </c>
    </row>
    <row r="134" spans="1:31" ht="15" customHeight="1" x14ac:dyDescent="0.25">
      <c r="A134" s="19" t="s">
        <v>1232</v>
      </c>
      <c r="B134" s="20" t="s">
        <v>1233</v>
      </c>
      <c r="C134" s="21" t="s">
        <v>1226</v>
      </c>
      <c r="D134" s="21" t="s">
        <v>438</v>
      </c>
      <c r="E134" s="21" t="s">
        <v>1234</v>
      </c>
      <c r="F134" s="19">
        <v>50750</v>
      </c>
      <c r="G134" s="21" t="s">
        <v>1235</v>
      </c>
      <c r="H134" s="42" t="s">
        <v>1236</v>
      </c>
      <c r="I134" s="43"/>
      <c r="J134" s="43" t="s">
        <v>1237</v>
      </c>
      <c r="K134" s="44" t="s">
        <v>98</v>
      </c>
      <c r="L134" s="21" t="s">
        <v>99</v>
      </c>
      <c r="M134" s="19">
        <f>_xlfn.XLOOKUP(tab_JA[[#This Row],[Code]],Rencontres_N3_PN_Rx[Code_JA],Rencontres_N3_PN_Rx[prest],0,0)</f>
        <v>1</v>
      </c>
      <c r="N134" s="19" t="s">
        <v>36</v>
      </c>
      <c r="O134" s="26"/>
      <c r="P134" s="27">
        <f>SUMIF(Rencontres_N3_PN_Rx[Code_JA],tab_JA[[#This Row],[Code]],Rencontres_N3_PN_Rx[Frais_JA])</f>
        <v>52</v>
      </c>
      <c r="W134" s="31" t="str">
        <f>IF(X134&lt;&gt;"",_xlfn.XLOOKUP(X134,tab_JA[Code],tab_JA[N_licence],"so"),"")</f>
        <v/>
      </c>
      <c r="X134" s="32"/>
      <c r="AA134" s="33" t="s">
        <v>2552</v>
      </c>
      <c r="AB134" s="33" t="s">
        <v>2552</v>
      </c>
      <c r="AC134" s="33" t="s">
        <v>2552</v>
      </c>
      <c r="AD134" s="34" t="str">
        <f>IF(X134&lt;&gt;"",SUMIF(Rencontres_N3_PN_Rx[Code_JA],X134,Rencontres_N3_PN_Rx[Frais_JA])-SUMIF(Rencontres_N3_PN_Rx[Code_JA],X134,Rencontres_N3_PN_Rx[frais defiscalisable]),"")</f>
        <v/>
      </c>
      <c r="AE134" s="121" t="str">
        <f>IF(X134&lt;&gt;"",SUMIF(Rencontres_N3_PN_Rx[Code_JA],X134,Rencontres_N3_PN_Rx[frais defiscalisable]),"")</f>
        <v/>
      </c>
    </row>
    <row r="135" spans="1:31" ht="15" customHeight="1" x14ac:dyDescent="0.25">
      <c r="A135" s="19" t="s">
        <v>3294</v>
      </c>
      <c r="B135" s="46" t="s">
        <v>1238</v>
      </c>
      <c r="C135" s="21" t="s">
        <v>1239</v>
      </c>
      <c r="D135" s="21" t="s">
        <v>1240</v>
      </c>
      <c r="E135" s="21" t="s">
        <v>1241</v>
      </c>
      <c r="F135" s="19">
        <v>76430</v>
      </c>
      <c r="G135" s="21" t="s">
        <v>879</v>
      </c>
      <c r="H135" s="42" t="s">
        <v>1242</v>
      </c>
      <c r="I135" s="43"/>
      <c r="J135" s="43" t="s">
        <v>1243</v>
      </c>
      <c r="K135" s="45" t="s">
        <v>613</v>
      </c>
      <c r="L135" s="21" t="s">
        <v>614</v>
      </c>
      <c r="M135" s="19">
        <f>_xlfn.XLOOKUP(tab_JA[[#This Row],[Code]],Rencontres_N3_PN_Rx[Code_JA],Rencontres_N3_PN_Rx[prest],0,0)</f>
        <v>0</v>
      </c>
      <c r="N135" s="19" t="s">
        <v>36</v>
      </c>
      <c r="O135" s="26"/>
      <c r="P135" s="27">
        <f>SUMIF(Rencontres_N3_PN_Rx[Code_JA],tab_JA[[#This Row],[Code]],Rencontres_N3_PN_Rx[Frais_JA])</f>
        <v>0</v>
      </c>
      <c r="W135" s="31" t="str">
        <f>IF(X135&lt;&gt;"",_xlfn.XLOOKUP(X135,tab_JA[Code],tab_JA[N_licence],"so"),"")</f>
        <v/>
      </c>
      <c r="X135" s="32"/>
      <c r="AA135" s="33" t="s">
        <v>2552</v>
      </c>
      <c r="AB135" s="33" t="s">
        <v>2552</v>
      </c>
      <c r="AC135" s="33" t="s">
        <v>2552</v>
      </c>
      <c r="AD135" s="34" t="str">
        <f>IF(X135&lt;&gt;"",SUMIF(Rencontres_N3_PN_Rx[Code_JA],X135,Rencontres_N3_PN_Rx[Frais_JA])-SUMIF(Rencontres_N3_PN_Rx[Code_JA],X135,Rencontres_N3_PN_Rx[frais defiscalisable]),"")</f>
        <v/>
      </c>
      <c r="AE135" s="121" t="str">
        <f>IF(X135&lt;&gt;"",SUMIF(Rencontres_N3_PN_Rx[Code_JA],X135,Rencontres_N3_PN_Rx[frais defiscalisable]),"")</f>
        <v/>
      </c>
    </row>
    <row r="136" spans="1:31" ht="15" customHeight="1" x14ac:dyDescent="0.25">
      <c r="A136" s="19" t="s">
        <v>1244</v>
      </c>
      <c r="B136" s="20" t="s">
        <v>1245</v>
      </c>
      <c r="C136" s="21" t="s">
        <v>1246</v>
      </c>
      <c r="D136" s="21" t="s">
        <v>1247</v>
      </c>
      <c r="E136" s="21" t="s">
        <v>1248</v>
      </c>
      <c r="F136" s="19">
        <v>76270</v>
      </c>
      <c r="G136" s="21" t="s">
        <v>1249</v>
      </c>
      <c r="H136" s="42" t="s">
        <v>1250</v>
      </c>
      <c r="I136" s="43" t="s">
        <v>1251</v>
      </c>
      <c r="J136" s="43"/>
      <c r="K136" s="44" t="s">
        <v>1252</v>
      </c>
      <c r="L136" s="21" t="s">
        <v>1253</v>
      </c>
      <c r="M136" s="19">
        <f>_xlfn.XLOOKUP(tab_JA[[#This Row],[Code]],Rencontres_N3_PN_Rx[Code_JA],Rencontres_N3_PN_Rx[prest],0,0)</f>
        <v>0</v>
      </c>
      <c r="N136" s="19" t="s">
        <v>36</v>
      </c>
      <c r="O136" s="26"/>
      <c r="P136" s="27">
        <f>SUMIF(Rencontres_N3_PN_Rx[Code_JA],tab_JA[[#This Row],[Code]],Rencontres_N3_PN_Rx[Frais_JA])</f>
        <v>0</v>
      </c>
      <c r="W136" s="31" t="str">
        <f>IF(X136&lt;&gt;"",_xlfn.XLOOKUP(X136,tab_JA[Code],tab_JA[N_licence],"so"),"")</f>
        <v/>
      </c>
      <c r="X136" s="32"/>
      <c r="AA136" s="33" t="s">
        <v>2552</v>
      </c>
      <c r="AB136" s="33" t="s">
        <v>2552</v>
      </c>
      <c r="AC136" s="33" t="s">
        <v>2552</v>
      </c>
      <c r="AD136" s="34" t="str">
        <f>IF(X136&lt;&gt;"",SUMIF(Rencontres_N3_PN_Rx[Code_JA],X136,Rencontres_N3_PN_Rx[Frais_JA])-SUMIF(Rencontres_N3_PN_Rx[Code_JA],X136,Rencontres_N3_PN_Rx[frais defiscalisable]),"")</f>
        <v/>
      </c>
      <c r="AE136" s="121" t="str">
        <f>IF(X136&lt;&gt;"",SUMIF(Rencontres_N3_PN_Rx[Code_JA],X136,Rencontres_N3_PN_Rx[frais defiscalisable]),"")</f>
        <v/>
      </c>
    </row>
    <row r="137" spans="1:31" ht="15" customHeight="1" x14ac:dyDescent="0.25">
      <c r="A137" s="19" t="s">
        <v>1254</v>
      </c>
      <c r="B137" s="20" t="s">
        <v>1255</v>
      </c>
      <c r="C137" s="21" t="s">
        <v>1256</v>
      </c>
      <c r="D137" s="21" t="s">
        <v>1070</v>
      </c>
      <c r="E137" s="21" t="s">
        <v>1257</v>
      </c>
      <c r="F137" s="19">
        <v>76650</v>
      </c>
      <c r="G137" s="21" t="s">
        <v>1258</v>
      </c>
      <c r="H137" s="42" t="s">
        <v>1259</v>
      </c>
      <c r="I137" s="43" t="s">
        <v>1260</v>
      </c>
      <c r="J137" s="43" t="s">
        <v>1261</v>
      </c>
      <c r="K137" s="44" t="s">
        <v>1262</v>
      </c>
      <c r="L137" s="21" t="s">
        <v>1263</v>
      </c>
      <c r="M137" s="19">
        <f>_xlfn.XLOOKUP(tab_JA[[#This Row],[Code]],Rencontres_N3_PN_Rx[Code_JA],Rencontres_N3_PN_Rx[prest],0,0)</f>
        <v>0</v>
      </c>
      <c r="N137" s="19" t="s">
        <v>36</v>
      </c>
      <c r="O137" s="26"/>
      <c r="P137" s="27">
        <f>SUMIF(Rencontres_N3_PN_Rx[Code_JA],tab_JA[[#This Row],[Code]],Rencontres_N3_PN_Rx[Frais_JA])</f>
        <v>0</v>
      </c>
      <c r="W137" s="31" t="str">
        <f>IF(X137&lt;&gt;"",_xlfn.XLOOKUP(X137,tab_JA[Code],tab_JA[N_licence],"so"),"")</f>
        <v/>
      </c>
      <c r="X137" s="32"/>
      <c r="AA137" s="33" t="s">
        <v>2552</v>
      </c>
      <c r="AB137" s="33" t="s">
        <v>2552</v>
      </c>
      <c r="AC137" s="33" t="s">
        <v>2552</v>
      </c>
      <c r="AD137" s="34" t="str">
        <f>IF(X137&lt;&gt;"",SUMIF(Rencontres_N3_PN_Rx[Code_JA],X137,Rencontres_N3_PN_Rx[Frais_JA])-SUMIF(Rencontres_N3_PN_Rx[Code_JA],X137,Rencontres_N3_PN_Rx[frais defiscalisable]),"")</f>
        <v/>
      </c>
      <c r="AE137" s="121" t="str">
        <f>IF(X137&lt;&gt;"",SUMIF(Rencontres_N3_PN_Rx[Code_JA],X137,Rencontres_N3_PN_Rx[frais defiscalisable]),"")</f>
        <v/>
      </c>
    </row>
    <row r="138" spans="1:31" ht="15" customHeight="1" x14ac:dyDescent="0.25">
      <c r="A138" s="19" t="s">
        <v>1264</v>
      </c>
      <c r="B138" s="20" t="s">
        <v>1265</v>
      </c>
      <c r="C138" s="21" t="s">
        <v>1266</v>
      </c>
      <c r="D138" s="21" t="s">
        <v>1267</v>
      </c>
      <c r="E138" s="21" t="s">
        <v>1268</v>
      </c>
      <c r="F138" s="19">
        <v>50100</v>
      </c>
      <c r="G138" s="21" t="s">
        <v>732</v>
      </c>
      <c r="H138" s="42" t="s">
        <v>1269</v>
      </c>
      <c r="I138" s="43"/>
      <c r="J138" s="43" t="s">
        <v>1270</v>
      </c>
      <c r="K138" s="44" t="s">
        <v>294</v>
      </c>
      <c r="L138" s="21" t="s">
        <v>295</v>
      </c>
      <c r="M138" s="19">
        <f>_xlfn.XLOOKUP(tab_JA[[#This Row],[Code]],Rencontres_N3_PN_Rx[Code_JA],Rencontres_N3_PN_Rx[prest],0,0)</f>
        <v>0</v>
      </c>
      <c r="N138" s="19" t="s">
        <v>36</v>
      </c>
      <c r="O138" s="26"/>
      <c r="P138" s="27">
        <f>SUMIF(Rencontres_N3_PN_Rx[Code_JA],tab_JA[[#This Row],[Code]],Rencontres_N3_PN_Rx[Frais_JA])</f>
        <v>0</v>
      </c>
      <c r="W138" s="31" t="str">
        <f>IF(X138&lt;&gt;"",_xlfn.XLOOKUP(X138,tab_JA[Code],tab_JA[N_licence],"so"),"")</f>
        <v/>
      </c>
      <c r="X138" s="32"/>
      <c r="AA138" s="33" t="s">
        <v>2552</v>
      </c>
      <c r="AB138" s="33" t="s">
        <v>2552</v>
      </c>
      <c r="AC138" s="33" t="s">
        <v>2552</v>
      </c>
      <c r="AD138" s="34" t="str">
        <f>IF(X138&lt;&gt;"",SUMIF(Rencontres_N3_PN_Rx[Code_JA],X138,Rencontres_N3_PN_Rx[Frais_JA])-SUMIF(Rencontres_N3_PN_Rx[Code_JA],X138,Rencontres_N3_PN_Rx[frais defiscalisable]),"")</f>
        <v/>
      </c>
      <c r="AE138" s="121" t="str">
        <f>IF(X138&lt;&gt;"",SUMIF(Rencontres_N3_PN_Rx[Code_JA],X138,Rencontres_N3_PN_Rx[frais defiscalisable]),"")</f>
        <v/>
      </c>
    </row>
    <row r="139" spans="1:31" ht="15" customHeight="1" x14ac:dyDescent="0.25">
      <c r="A139" s="19" t="s">
        <v>1271</v>
      </c>
      <c r="B139" s="20" t="s">
        <v>1272</v>
      </c>
      <c r="C139" s="21" t="s">
        <v>1273</v>
      </c>
      <c r="D139" s="21" t="s">
        <v>1274</v>
      </c>
      <c r="E139" s="21" t="s">
        <v>1275</v>
      </c>
      <c r="F139" s="19">
        <v>27780</v>
      </c>
      <c r="G139" s="21" t="s">
        <v>1276</v>
      </c>
      <c r="H139" s="47" t="s">
        <v>1277</v>
      </c>
      <c r="I139" s="48"/>
      <c r="J139" s="43" t="s">
        <v>1278</v>
      </c>
      <c r="K139" s="44" t="s">
        <v>305</v>
      </c>
      <c r="L139" s="21" t="s">
        <v>306</v>
      </c>
      <c r="M139" s="19">
        <f>_xlfn.XLOOKUP(tab_JA[[#This Row],[Code]],Rencontres_N3_PN_Rx[Code_JA],Rencontres_N3_PN_Rx[prest],0,0)</f>
        <v>0</v>
      </c>
      <c r="N139" s="19" t="s">
        <v>36</v>
      </c>
      <c r="O139" s="26"/>
      <c r="P139" s="27">
        <f>SUMIF(Rencontres_N3_PN_Rx[Code_JA],tab_JA[[#This Row],[Code]],Rencontres_N3_PN_Rx[Frais_JA])</f>
        <v>0</v>
      </c>
      <c r="W139" s="31" t="str">
        <f>IF(X139&lt;&gt;"",_xlfn.XLOOKUP(X139,tab_JA[Code],tab_JA[N_licence],"so"),"")</f>
        <v/>
      </c>
      <c r="X139" s="32"/>
      <c r="AA139" s="33" t="s">
        <v>2552</v>
      </c>
      <c r="AB139" s="33" t="s">
        <v>2552</v>
      </c>
      <c r="AC139" s="33" t="s">
        <v>2552</v>
      </c>
      <c r="AD139" s="34" t="str">
        <f>IF(X139&lt;&gt;"",SUMIF(Rencontres_N3_PN_Rx[Code_JA],X139,Rencontres_N3_PN_Rx[Frais_JA])-SUMIF(Rencontres_N3_PN_Rx[Code_JA],X139,Rencontres_N3_PN_Rx[frais defiscalisable]),"")</f>
        <v/>
      </c>
      <c r="AE139" s="121" t="str">
        <f>IF(X139&lt;&gt;"",SUMIF(Rencontres_N3_PN_Rx[Code_JA],X139,Rencontres_N3_PN_Rx[frais defiscalisable]),"")</f>
        <v/>
      </c>
    </row>
    <row r="140" spans="1:31" ht="15" customHeight="1" x14ac:dyDescent="0.25">
      <c r="A140" s="19" t="s">
        <v>3295</v>
      </c>
      <c r="B140" s="20" t="s">
        <v>1279</v>
      </c>
      <c r="C140" s="21" t="s">
        <v>1280</v>
      </c>
      <c r="D140" s="21" t="s">
        <v>1281</v>
      </c>
      <c r="E140" s="21" t="s">
        <v>1282</v>
      </c>
      <c r="F140" s="19">
        <v>27500</v>
      </c>
      <c r="G140" s="21" t="s">
        <v>1283</v>
      </c>
      <c r="H140" s="42" t="s">
        <v>1284</v>
      </c>
      <c r="I140" s="43"/>
      <c r="J140" s="43" t="s">
        <v>1285</v>
      </c>
      <c r="K140" s="44" t="s">
        <v>1286</v>
      </c>
      <c r="L140" s="21" t="s">
        <v>1287</v>
      </c>
      <c r="M140" s="19">
        <f>_xlfn.XLOOKUP(tab_JA[[#This Row],[Code]],Rencontres_N3_PN_Rx[Code_JA],Rencontres_N3_PN_Rx[prest],0,0)</f>
        <v>0</v>
      </c>
      <c r="N140" s="19" t="s">
        <v>36</v>
      </c>
      <c r="O140" s="26"/>
      <c r="P140" s="27">
        <f>SUMIF(Rencontres_N3_PN_Rx[Code_JA],tab_JA[[#This Row],[Code]],Rencontres_N3_PN_Rx[Frais_JA])</f>
        <v>0</v>
      </c>
      <c r="W140" s="31" t="str">
        <f>IF(X140&lt;&gt;"",_xlfn.XLOOKUP(X140,tab_JA[Code],tab_JA[N_licence],"so"),"")</f>
        <v/>
      </c>
      <c r="X140" s="32"/>
      <c r="AA140" s="33" t="s">
        <v>2552</v>
      </c>
      <c r="AB140" s="33" t="s">
        <v>2552</v>
      </c>
      <c r="AC140" s="33" t="s">
        <v>2552</v>
      </c>
      <c r="AD140" s="34" t="str">
        <f>IF(X140&lt;&gt;"",SUMIF(Rencontres_N3_PN_Rx[Code_JA],X140,Rencontres_N3_PN_Rx[Frais_JA])-SUMIF(Rencontres_N3_PN_Rx[Code_JA],X140,Rencontres_N3_PN_Rx[frais defiscalisable]),"")</f>
        <v/>
      </c>
      <c r="AE140" s="121" t="str">
        <f>IF(X140&lt;&gt;"",SUMIF(Rencontres_N3_PN_Rx[Code_JA],X140,Rencontres_N3_PN_Rx[frais defiscalisable]),"")</f>
        <v/>
      </c>
    </row>
    <row r="141" spans="1:31" ht="15" customHeight="1" x14ac:dyDescent="0.25">
      <c r="A141" s="19" t="s">
        <v>1308</v>
      </c>
      <c r="B141" s="20" t="s">
        <v>1309</v>
      </c>
      <c r="C141" s="21" t="s">
        <v>1310</v>
      </c>
      <c r="D141" s="21" t="s">
        <v>1311</v>
      </c>
      <c r="E141" s="21" t="s">
        <v>1312</v>
      </c>
      <c r="F141" s="19">
        <v>14150</v>
      </c>
      <c r="G141" s="21" t="s">
        <v>1313</v>
      </c>
      <c r="H141" s="42" t="s">
        <v>1314</v>
      </c>
      <c r="I141" s="43"/>
      <c r="J141" s="43" t="s">
        <v>1315</v>
      </c>
      <c r="K141" s="44" t="s">
        <v>1316</v>
      </c>
      <c r="L141" s="21" t="s">
        <v>1317</v>
      </c>
      <c r="M141" s="19">
        <f>_xlfn.XLOOKUP(tab_JA[[#This Row],[Code]],Rencontres_N3_PN_Rx[Code_JA],Rencontres_N3_PN_Rx[prest],0,0)</f>
        <v>0</v>
      </c>
      <c r="N141" s="19" t="s">
        <v>36</v>
      </c>
      <c r="O141" s="26"/>
      <c r="P141" s="27">
        <f>SUMIF(Rencontres_N3_PN_Rx[Code_JA],tab_JA[[#This Row],[Code]],Rencontres_N3_PN_Rx[Frais_JA])</f>
        <v>0</v>
      </c>
      <c r="W141" s="31" t="str">
        <f>IF(X141&lt;&gt;"",_xlfn.XLOOKUP(X141,tab_JA[Code],tab_JA[N_licence],"so"),"")</f>
        <v/>
      </c>
      <c r="X141" s="32"/>
      <c r="AA141" s="33" t="s">
        <v>2552</v>
      </c>
      <c r="AB141" s="33" t="s">
        <v>2552</v>
      </c>
      <c r="AC141" s="33" t="s">
        <v>2552</v>
      </c>
      <c r="AD141" s="34" t="str">
        <f>IF(X141&lt;&gt;"",SUMIF(Rencontres_N3_PN_Rx[Code_JA],X141,Rencontres_N3_PN_Rx[Frais_JA])-SUMIF(Rencontres_N3_PN_Rx[Code_JA],X141,Rencontres_N3_PN_Rx[frais defiscalisable]),"")</f>
        <v/>
      </c>
      <c r="AE141" s="121" t="str">
        <f>IF(X141&lt;&gt;"",SUMIF(Rencontres_N3_PN_Rx[Code_JA],X141,Rencontres_N3_PN_Rx[frais defiscalisable]),"")</f>
        <v/>
      </c>
    </row>
    <row r="142" spans="1:31" ht="15" customHeight="1" x14ac:dyDescent="0.25">
      <c r="A142" s="19" t="s">
        <v>1288</v>
      </c>
      <c r="B142" s="20" t="s">
        <v>1289</v>
      </c>
      <c r="C142" s="21" t="s">
        <v>1280</v>
      </c>
      <c r="D142" s="21" t="s">
        <v>1290</v>
      </c>
      <c r="E142" s="21" t="s">
        <v>1291</v>
      </c>
      <c r="F142" s="19">
        <v>50180</v>
      </c>
      <c r="G142" s="21" t="s">
        <v>1292</v>
      </c>
      <c r="H142" s="42" t="s">
        <v>1293</v>
      </c>
      <c r="I142" s="43" t="s">
        <v>1294</v>
      </c>
      <c r="J142" s="43" t="s">
        <v>1295</v>
      </c>
      <c r="K142" s="44" t="s">
        <v>1296</v>
      </c>
      <c r="L142" s="21" t="s">
        <v>1297</v>
      </c>
      <c r="M142" s="19">
        <f>_xlfn.XLOOKUP(tab_JA[[#This Row],[Code]],Rencontres_N3_PN_Rx[Code_JA],Rencontres_N3_PN_Rx[prest],0,0)</f>
        <v>1</v>
      </c>
      <c r="N142" s="19" t="s">
        <v>36</v>
      </c>
      <c r="O142" s="26"/>
      <c r="P142" s="27">
        <f>SUMIF(Rencontres_N3_PN_Rx[Code_JA],tab_JA[[#This Row],[Code]],Rencontres_N3_PN_Rx[Frais_JA])</f>
        <v>25</v>
      </c>
      <c r="W142" s="31" t="str">
        <f>IF(X142&lt;&gt;"",_xlfn.XLOOKUP(X142,tab_JA[Code],tab_JA[N_licence],"so"),"")</f>
        <v/>
      </c>
      <c r="X142" s="32"/>
      <c r="AA142" s="33" t="s">
        <v>2552</v>
      </c>
      <c r="AB142" s="33" t="s">
        <v>2552</v>
      </c>
      <c r="AC142" s="33" t="s">
        <v>2552</v>
      </c>
      <c r="AD142" s="34" t="str">
        <f>IF(X142&lt;&gt;"",SUMIF(Rencontres_N3_PN_Rx[Code_JA],X142,Rencontres_N3_PN_Rx[Frais_JA])-SUMIF(Rencontres_N3_PN_Rx[Code_JA],X142,Rencontres_N3_PN_Rx[frais defiscalisable]),"")</f>
        <v/>
      </c>
      <c r="AE142" s="121" t="str">
        <f>IF(X142&lt;&gt;"",SUMIF(Rencontres_N3_PN_Rx[Code_JA],X142,Rencontres_N3_PN_Rx[frais defiscalisable]),"")</f>
        <v/>
      </c>
    </row>
    <row r="143" spans="1:31" ht="15" customHeight="1" x14ac:dyDescent="0.25">
      <c r="A143" s="19" t="s">
        <v>1298</v>
      </c>
      <c r="B143" s="46" t="s">
        <v>1299</v>
      </c>
      <c r="C143" s="21" t="s">
        <v>1300</v>
      </c>
      <c r="D143" s="21" t="s">
        <v>1301</v>
      </c>
      <c r="E143" s="21" t="s">
        <v>1302</v>
      </c>
      <c r="F143" s="19">
        <v>27290</v>
      </c>
      <c r="G143" s="21" t="s">
        <v>1303</v>
      </c>
      <c r="H143" s="42" t="s">
        <v>1304</v>
      </c>
      <c r="I143" s="43"/>
      <c r="J143" s="43" t="s">
        <v>1305</v>
      </c>
      <c r="K143" s="45" t="s">
        <v>1306</v>
      </c>
      <c r="L143" s="21" t="s">
        <v>1307</v>
      </c>
      <c r="M143" s="19">
        <f>_xlfn.XLOOKUP(tab_JA[[#This Row],[Code]],Rencontres_N3_PN_Rx[Code_JA],Rencontres_N3_PN_Rx[prest],0,0)</f>
        <v>0</v>
      </c>
      <c r="N143" s="19" t="s">
        <v>36</v>
      </c>
      <c r="O143" s="26"/>
      <c r="P143" s="27">
        <f>SUMIF(Rencontres_N3_PN_Rx[Code_JA],tab_JA[[#This Row],[Code]],Rencontres_N3_PN_Rx[Frais_JA])</f>
        <v>0</v>
      </c>
      <c r="W143" s="31" t="str">
        <f>IF(X143&lt;&gt;"",_xlfn.XLOOKUP(X143,tab_JA[Code],tab_JA[N_licence],"so"),"")</f>
        <v/>
      </c>
      <c r="X143" s="32"/>
      <c r="AA143" s="33" t="s">
        <v>2552</v>
      </c>
      <c r="AB143" s="33" t="s">
        <v>2552</v>
      </c>
      <c r="AC143" s="33" t="s">
        <v>2552</v>
      </c>
      <c r="AD143" s="34" t="str">
        <f>IF(X143&lt;&gt;"",SUMIF(Rencontres_N3_PN_Rx[Code_JA],X143,Rencontres_N3_PN_Rx[Frais_JA])-SUMIF(Rencontres_N3_PN_Rx[Code_JA],X143,Rencontres_N3_PN_Rx[frais defiscalisable]),"")</f>
        <v/>
      </c>
      <c r="AE143" s="121" t="str">
        <f>IF(X143&lt;&gt;"",SUMIF(Rencontres_N3_PN_Rx[Code_JA],X143,Rencontres_N3_PN_Rx[frais defiscalisable]),"")</f>
        <v/>
      </c>
    </row>
    <row r="144" spans="1:31" ht="15" customHeight="1" x14ac:dyDescent="0.25">
      <c r="A144" s="19" t="s">
        <v>1318</v>
      </c>
      <c r="B144" s="20" t="s">
        <v>1319</v>
      </c>
      <c r="C144" s="21" t="s">
        <v>1320</v>
      </c>
      <c r="D144" s="21" t="s">
        <v>1321</v>
      </c>
      <c r="E144" s="21" t="s">
        <v>1322</v>
      </c>
      <c r="F144" s="19">
        <v>27370</v>
      </c>
      <c r="G144" s="21" t="s">
        <v>1323</v>
      </c>
      <c r="H144" s="42" t="s">
        <v>1324</v>
      </c>
      <c r="I144" s="43"/>
      <c r="J144" s="43" t="s">
        <v>1325</v>
      </c>
      <c r="K144" s="44" t="s">
        <v>717</v>
      </c>
      <c r="L144" s="21" t="s">
        <v>718</v>
      </c>
      <c r="M144" s="19">
        <f>_xlfn.XLOOKUP(tab_JA[[#This Row],[Code]],Rencontres_N3_PN_Rx[Code_JA],Rencontres_N3_PN_Rx[prest],0,0)</f>
        <v>0</v>
      </c>
      <c r="N144" s="19" t="s">
        <v>36</v>
      </c>
      <c r="O144" s="26"/>
      <c r="P144" s="27">
        <f>SUMIF(Rencontres_N3_PN_Rx[Code_JA],tab_JA[[#This Row],[Code]],Rencontres_N3_PN_Rx[Frais_JA])</f>
        <v>0</v>
      </c>
      <c r="W144" s="31" t="str">
        <f>IF(X144&lt;&gt;"",_xlfn.XLOOKUP(X144,tab_JA[Code],tab_JA[N_licence],"so"),"")</f>
        <v/>
      </c>
      <c r="X144" s="32"/>
      <c r="AA144" s="33" t="s">
        <v>2552</v>
      </c>
      <c r="AB144" s="33" t="s">
        <v>2552</v>
      </c>
      <c r="AC144" s="33" t="s">
        <v>2552</v>
      </c>
      <c r="AD144" s="34" t="str">
        <f>IF(X144&lt;&gt;"",SUMIF(Rencontres_N3_PN_Rx[Code_JA],X144,Rencontres_N3_PN_Rx[Frais_JA])-SUMIF(Rencontres_N3_PN_Rx[Code_JA],X144,Rencontres_N3_PN_Rx[frais defiscalisable]),"")</f>
        <v/>
      </c>
      <c r="AE144" s="121" t="str">
        <f>IF(X144&lt;&gt;"",SUMIF(Rencontres_N3_PN_Rx[Code_JA],X144,Rencontres_N3_PN_Rx[frais defiscalisable]),"")</f>
        <v/>
      </c>
    </row>
    <row r="145" spans="1:31" ht="15" customHeight="1" x14ac:dyDescent="0.25">
      <c r="A145" s="19" t="s">
        <v>1326</v>
      </c>
      <c r="B145" s="20" t="s">
        <v>1327</v>
      </c>
      <c r="C145" s="21" t="s">
        <v>1328</v>
      </c>
      <c r="D145" s="21" t="s">
        <v>542</v>
      </c>
      <c r="E145" s="21" t="s">
        <v>1329</v>
      </c>
      <c r="F145" s="19">
        <v>27370</v>
      </c>
      <c r="G145" s="21" t="s">
        <v>1167</v>
      </c>
      <c r="H145" s="42" t="s">
        <v>1330</v>
      </c>
      <c r="I145" s="43"/>
      <c r="J145" s="43" t="s">
        <v>1331</v>
      </c>
      <c r="K145" s="44" t="s">
        <v>1170</v>
      </c>
      <c r="L145" s="21" t="s">
        <v>1171</v>
      </c>
      <c r="M145" s="19">
        <f>_xlfn.XLOOKUP(tab_JA[[#This Row],[Code]],Rencontres_N3_PN_Rx[Code_JA],Rencontres_N3_PN_Rx[prest],0,0)</f>
        <v>0</v>
      </c>
      <c r="N145" s="19" t="s">
        <v>36</v>
      </c>
      <c r="O145" s="26"/>
      <c r="P145" s="27">
        <f>SUMIF(Rencontres_N3_PN_Rx[Code_JA],tab_JA[[#This Row],[Code]],Rencontres_N3_PN_Rx[Frais_JA])</f>
        <v>0</v>
      </c>
      <c r="W145" s="31" t="str">
        <f>IF(X145&lt;&gt;"",_xlfn.XLOOKUP(X145,tab_JA[Code],tab_JA[N_licence],"so"),"")</f>
        <v/>
      </c>
      <c r="X145" s="32"/>
      <c r="AA145" s="33" t="s">
        <v>2552</v>
      </c>
      <c r="AB145" s="33" t="s">
        <v>2552</v>
      </c>
      <c r="AC145" s="33" t="s">
        <v>2552</v>
      </c>
      <c r="AD145" s="34" t="str">
        <f>IF(X145&lt;&gt;"",SUMIF(Rencontres_N3_PN_Rx[Code_JA],X145,Rencontres_N3_PN_Rx[Frais_JA])-SUMIF(Rencontres_N3_PN_Rx[Code_JA],X145,Rencontres_N3_PN_Rx[frais defiscalisable]),"")</f>
        <v/>
      </c>
      <c r="AE145" s="121" t="str">
        <f>IF(X145&lt;&gt;"",SUMIF(Rencontres_N3_PN_Rx[Code_JA],X145,Rencontres_N3_PN_Rx[frais defiscalisable]),"")</f>
        <v/>
      </c>
    </row>
    <row r="146" spans="1:31" ht="15" customHeight="1" x14ac:dyDescent="0.25">
      <c r="A146" s="19" t="s">
        <v>1332</v>
      </c>
      <c r="B146" s="46" t="s">
        <v>1333</v>
      </c>
      <c r="C146" s="21" t="s">
        <v>1334</v>
      </c>
      <c r="D146" s="21" t="s">
        <v>516</v>
      </c>
      <c r="E146" s="21" t="s">
        <v>1335</v>
      </c>
      <c r="F146" s="19">
        <v>76610</v>
      </c>
      <c r="G146" s="21" t="s">
        <v>383</v>
      </c>
      <c r="H146" s="42" t="s">
        <v>1336</v>
      </c>
      <c r="I146" s="43" t="s">
        <v>1337</v>
      </c>
      <c r="J146" s="43" t="s">
        <v>1338</v>
      </c>
      <c r="K146" s="45" t="s">
        <v>1339</v>
      </c>
      <c r="L146" s="21" t="s">
        <v>1340</v>
      </c>
      <c r="M146" s="19">
        <f>_xlfn.XLOOKUP(tab_JA[[#This Row],[Code]],Rencontres_N3_PN_Rx[Code_JA],Rencontres_N3_PN_Rx[prest],0,0)</f>
        <v>0</v>
      </c>
      <c r="N146" s="19" t="s">
        <v>36</v>
      </c>
      <c r="O146" s="26"/>
      <c r="P146" s="27">
        <f>SUMIF(Rencontres_N3_PN_Rx[Code_JA],tab_JA[[#This Row],[Code]],Rencontres_N3_PN_Rx[Frais_JA])</f>
        <v>0</v>
      </c>
      <c r="W146" s="31" t="str">
        <f>IF(X146&lt;&gt;"",_xlfn.XLOOKUP(X146,tab_JA[Code],tab_JA[N_licence],"so"),"")</f>
        <v/>
      </c>
      <c r="X146" s="32"/>
      <c r="AA146" s="33" t="s">
        <v>2552</v>
      </c>
      <c r="AB146" s="33" t="s">
        <v>2552</v>
      </c>
      <c r="AC146" s="33" t="s">
        <v>2552</v>
      </c>
      <c r="AD146" s="34" t="str">
        <f>IF(X146&lt;&gt;"",SUMIF(Rencontres_N3_PN_Rx[Code_JA],X146,Rencontres_N3_PN_Rx[Frais_JA])-SUMIF(Rencontres_N3_PN_Rx[Code_JA],X146,Rencontres_N3_PN_Rx[frais defiscalisable]),"")</f>
        <v/>
      </c>
      <c r="AE146" s="121" t="str">
        <f>IF(X146&lt;&gt;"",SUMIF(Rencontres_N3_PN_Rx[Code_JA],X146,Rencontres_N3_PN_Rx[frais defiscalisable]),"")</f>
        <v/>
      </c>
    </row>
    <row r="147" spans="1:31" ht="15" customHeight="1" x14ac:dyDescent="0.25">
      <c r="A147" s="19" t="s">
        <v>3296</v>
      </c>
      <c r="B147" s="20" t="s">
        <v>1356</v>
      </c>
      <c r="C147" s="21" t="s">
        <v>1357</v>
      </c>
      <c r="D147" s="21" t="s">
        <v>1358</v>
      </c>
      <c r="E147" s="21" t="s">
        <v>1359</v>
      </c>
      <c r="F147" s="19">
        <v>50600</v>
      </c>
      <c r="G147" s="21" t="s">
        <v>1360</v>
      </c>
      <c r="H147" s="42" t="s">
        <v>1361</v>
      </c>
      <c r="I147" s="43" t="s">
        <v>1362</v>
      </c>
      <c r="J147" s="43" t="s">
        <v>1363</v>
      </c>
      <c r="K147" s="44" t="s">
        <v>1364</v>
      </c>
      <c r="L147" s="21" t="s">
        <v>1365</v>
      </c>
      <c r="M147" s="19">
        <f>_xlfn.XLOOKUP(tab_JA[[#This Row],[Code]],Rencontres_N3_PN_Rx[Code_JA],Rencontres_N3_PN_Rx[prest],0,0)</f>
        <v>9</v>
      </c>
      <c r="N147" s="19" t="s">
        <v>36</v>
      </c>
      <c r="O147" s="26"/>
      <c r="P147" s="27">
        <f>SUMIF(Rencontres_N3_PN_Rx[Code_JA],tab_JA[[#This Row],[Code]],Rencontres_N3_PN_Rx[Frais_JA])</f>
        <v>172.82</v>
      </c>
      <c r="W147" s="31" t="str">
        <f>IF(X147&lt;&gt;"",_xlfn.XLOOKUP(X147,tab_JA[Code],tab_JA[N_licence],"so"),"")</f>
        <v/>
      </c>
      <c r="X147" s="32"/>
      <c r="AA147" s="33" t="s">
        <v>2552</v>
      </c>
      <c r="AB147" s="33" t="s">
        <v>2552</v>
      </c>
      <c r="AC147" s="33" t="s">
        <v>2552</v>
      </c>
      <c r="AD147" s="34" t="str">
        <f>IF(X147&lt;&gt;"",SUMIF(Rencontres_N3_PN_Rx[Code_JA],X147,Rencontres_N3_PN_Rx[Frais_JA])-SUMIF(Rencontres_N3_PN_Rx[Code_JA],X147,Rencontres_N3_PN_Rx[frais defiscalisable]),"")</f>
        <v/>
      </c>
      <c r="AE147" s="121" t="str">
        <f>IF(X147&lt;&gt;"",SUMIF(Rencontres_N3_PN_Rx[Code_JA],X147,Rencontres_N3_PN_Rx[frais defiscalisable]),"")</f>
        <v/>
      </c>
    </row>
    <row r="148" spans="1:31" ht="15" customHeight="1" x14ac:dyDescent="0.25">
      <c r="A148" s="19" t="s">
        <v>1366</v>
      </c>
      <c r="B148" s="20" t="s">
        <v>1367</v>
      </c>
      <c r="C148" s="21" t="s">
        <v>1368</v>
      </c>
      <c r="D148" s="21" t="s">
        <v>936</v>
      </c>
      <c r="E148" s="21" t="s">
        <v>1369</v>
      </c>
      <c r="F148" s="19">
        <v>50670</v>
      </c>
      <c r="G148" s="21" t="s">
        <v>1370</v>
      </c>
      <c r="H148" s="42" t="s">
        <v>1371</v>
      </c>
      <c r="I148" s="43" t="s">
        <v>1372</v>
      </c>
      <c r="J148" s="43" t="s">
        <v>1373</v>
      </c>
      <c r="K148" s="44" t="s">
        <v>1374</v>
      </c>
      <c r="L148" s="21" t="s">
        <v>1375</v>
      </c>
      <c r="M148" s="19">
        <f>_xlfn.XLOOKUP(tab_JA[[#This Row],[Code]],Rencontres_N3_PN_Rx[Code_JA],Rencontres_N3_PN_Rx[prest],0,0)</f>
        <v>6</v>
      </c>
      <c r="N148" s="19" t="s">
        <v>36</v>
      </c>
      <c r="O148" s="26"/>
      <c r="P148" s="27">
        <f>SUMIF(Rencontres_N3_PN_Rx[Code_JA],tab_JA[[#This Row],[Code]],Rencontres_N3_PN_Rx[Frais_JA])</f>
        <v>245.39999999999998</v>
      </c>
      <c r="W148" s="31" t="str">
        <f>IF(X148&lt;&gt;"",_xlfn.XLOOKUP(X148,tab_JA[Code],tab_JA[N_licence],"so"),"")</f>
        <v/>
      </c>
      <c r="X148" s="32"/>
      <c r="AA148" s="33" t="s">
        <v>2552</v>
      </c>
      <c r="AB148" s="33" t="s">
        <v>2552</v>
      </c>
      <c r="AC148" s="33" t="s">
        <v>2552</v>
      </c>
      <c r="AD148" s="34" t="str">
        <f>IF(X148&lt;&gt;"",SUMIF(Rencontres_N3_PN_Rx[Code_JA],X148,Rencontres_N3_PN_Rx[Frais_JA])-SUMIF(Rencontres_N3_PN_Rx[Code_JA],X148,Rencontres_N3_PN_Rx[frais defiscalisable]),"")</f>
        <v/>
      </c>
      <c r="AE148" s="121" t="str">
        <f>IF(X148&lt;&gt;"",SUMIF(Rencontres_N3_PN_Rx[Code_JA],X148,Rencontres_N3_PN_Rx[frais defiscalisable]),"")</f>
        <v/>
      </c>
    </row>
    <row r="149" spans="1:31" ht="15" customHeight="1" x14ac:dyDescent="0.25">
      <c r="A149" s="19" t="s">
        <v>1341</v>
      </c>
      <c r="B149" s="20" t="s">
        <v>1342</v>
      </c>
      <c r="C149" s="21" t="s">
        <v>1343</v>
      </c>
      <c r="D149" s="21" t="s">
        <v>61</v>
      </c>
      <c r="E149" s="21" t="s">
        <v>1344</v>
      </c>
      <c r="F149" s="19">
        <v>50110</v>
      </c>
      <c r="G149" s="21" t="s">
        <v>1345</v>
      </c>
      <c r="H149" s="42" t="s">
        <v>1346</v>
      </c>
      <c r="I149" s="43" t="s">
        <v>1347</v>
      </c>
      <c r="J149" s="43" t="s">
        <v>1348</v>
      </c>
      <c r="K149" s="44" t="s">
        <v>691</v>
      </c>
      <c r="L149" s="21" t="s">
        <v>692</v>
      </c>
      <c r="M149" s="19">
        <f>_xlfn.XLOOKUP(tab_JA[[#This Row],[Code]],Rencontres_N3_PN_Rx[Code_JA],Rencontres_N3_PN_Rx[prest],0,0)</f>
        <v>2</v>
      </c>
      <c r="N149" s="19" t="s">
        <v>36</v>
      </c>
      <c r="O149" s="26"/>
      <c r="P149" s="27">
        <f>SUMIF(Rencontres_N3_PN_Rx[Code_JA],tab_JA[[#This Row],[Code]],Rencontres_N3_PN_Rx[Frais_JA])</f>
        <v>86</v>
      </c>
      <c r="W149" s="31" t="str">
        <f>IF(X149&lt;&gt;"",_xlfn.XLOOKUP(X149,tab_JA[Code],tab_JA[N_licence],"so"),"")</f>
        <v/>
      </c>
      <c r="X149" s="32"/>
      <c r="AA149" s="33" t="s">
        <v>2552</v>
      </c>
      <c r="AB149" s="33" t="s">
        <v>2552</v>
      </c>
      <c r="AC149" s="33" t="s">
        <v>2552</v>
      </c>
      <c r="AD149" s="34" t="str">
        <f>IF(X149&lt;&gt;"",SUMIF(Rencontres_N3_PN_Rx[Code_JA],X149,Rencontres_N3_PN_Rx[Frais_JA])-SUMIF(Rencontres_N3_PN_Rx[Code_JA],X149,Rencontres_N3_PN_Rx[frais defiscalisable]),"")</f>
        <v/>
      </c>
      <c r="AE149" s="121" t="str">
        <f>IF(X149&lt;&gt;"",SUMIF(Rencontres_N3_PN_Rx[Code_JA],X149,Rencontres_N3_PN_Rx[frais defiscalisable]),"")</f>
        <v/>
      </c>
    </row>
    <row r="150" spans="1:31" ht="15" customHeight="1" x14ac:dyDescent="0.25">
      <c r="A150" s="19" t="s">
        <v>1349</v>
      </c>
      <c r="B150" s="20" t="s">
        <v>1350</v>
      </c>
      <c r="C150" s="21" t="s">
        <v>1351</v>
      </c>
      <c r="D150" s="21" t="s">
        <v>808</v>
      </c>
      <c r="E150" s="21" t="s">
        <v>1352</v>
      </c>
      <c r="F150" s="19">
        <v>27800</v>
      </c>
      <c r="G150" s="21" t="s">
        <v>1353</v>
      </c>
      <c r="H150" s="42" t="s">
        <v>1354</v>
      </c>
      <c r="I150" s="43"/>
      <c r="J150" s="43" t="s">
        <v>1355</v>
      </c>
      <c r="K150" s="44" t="s">
        <v>717</v>
      </c>
      <c r="L150" s="21" t="s">
        <v>718</v>
      </c>
      <c r="M150" s="19">
        <f>_xlfn.XLOOKUP(tab_JA[[#This Row],[Code]],Rencontres_N3_PN_Rx[Code_JA],Rencontres_N3_PN_Rx[prest],0,0)</f>
        <v>0</v>
      </c>
      <c r="N150" s="19" t="s">
        <v>36</v>
      </c>
      <c r="O150" s="26"/>
      <c r="P150" s="27">
        <f>SUMIF(Rencontres_N3_PN_Rx[Code_JA],tab_JA[[#This Row],[Code]],Rencontres_N3_PN_Rx[Frais_JA])</f>
        <v>0</v>
      </c>
      <c r="W150" s="31" t="str">
        <f>IF(X150&lt;&gt;"",_xlfn.XLOOKUP(X150,tab_JA[Code],tab_JA[N_licence],"so"),"")</f>
        <v/>
      </c>
      <c r="X150" s="32"/>
      <c r="AA150" s="33" t="s">
        <v>2552</v>
      </c>
      <c r="AB150" s="33" t="s">
        <v>2552</v>
      </c>
      <c r="AC150" s="33" t="s">
        <v>2552</v>
      </c>
      <c r="AD150" s="34" t="str">
        <f>IF(X150&lt;&gt;"",SUMIF(Rencontres_N3_PN_Rx[Code_JA],X150,Rencontres_N3_PN_Rx[Frais_JA])-SUMIF(Rencontres_N3_PN_Rx[Code_JA],X150,Rencontres_N3_PN_Rx[frais defiscalisable]),"")</f>
        <v/>
      </c>
      <c r="AE150" s="121" t="str">
        <f>IF(X150&lt;&gt;"",SUMIF(Rencontres_N3_PN_Rx[Code_JA],X150,Rencontres_N3_PN_Rx[frais defiscalisable]),"")</f>
        <v/>
      </c>
    </row>
    <row r="151" spans="1:31" ht="15" customHeight="1" x14ac:dyDescent="0.25">
      <c r="A151" s="19" t="s">
        <v>1376</v>
      </c>
      <c r="B151" s="20" t="s">
        <v>1377</v>
      </c>
      <c r="C151" s="21" t="s">
        <v>1378</v>
      </c>
      <c r="D151" s="21" t="s">
        <v>1379</v>
      </c>
      <c r="E151" s="21" t="s">
        <v>1380</v>
      </c>
      <c r="F151" s="19">
        <v>14123</v>
      </c>
      <c r="G151" s="21" t="s">
        <v>1381</v>
      </c>
      <c r="H151" s="42" t="s">
        <v>1382</v>
      </c>
      <c r="I151" s="43" t="s">
        <v>1383</v>
      </c>
      <c r="J151" s="43" t="s">
        <v>1384</v>
      </c>
      <c r="K151" s="44" t="s">
        <v>623</v>
      </c>
      <c r="L151" s="21" t="s">
        <v>624</v>
      </c>
      <c r="M151" s="19">
        <f>_xlfn.XLOOKUP(tab_JA[[#This Row],[Code]],Rencontres_N3_PN_Rx[Code_JA],Rencontres_N3_PN_Rx[prest],0,0)</f>
        <v>0</v>
      </c>
      <c r="N151" s="19" t="s">
        <v>36</v>
      </c>
      <c r="O151" s="26"/>
      <c r="P151" s="27">
        <f>SUMIF(Rencontres_N3_PN_Rx[Code_JA],tab_JA[[#This Row],[Code]],Rencontres_N3_PN_Rx[Frais_JA])</f>
        <v>0</v>
      </c>
      <c r="W151" s="31" t="str">
        <f>IF(X151&lt;&gt;"",_xlfn.XLOOKUP(X151,tab_JA[Code],tab_JA[N_licence],"so"),"")</f>
        <v/>
      </c>
      <c r="X151" s="32"/>
      <c r="AA151" s="33" t="s">
        <v>2552</v>
      </c>
      <c r="AB151" s="33" t="s">
        <v>2552</v>
      </c>
      <c r="AC151" s="33" t="s">
        <v>2552</v>
      </c>
      <c r="AD151" s="34" t="str">
        <f>IF(X151&lt;&gt;"",SUMIF(Rencontres_N3_PN_Rx[Code_JA],X151,Rencontres_N3_PN_Rx[Frais_JA])-SUMIF(Rencontres_N3_PN_Rx[Code_JA],X151,Rencontres_N3_PN_Rx[frais defiscalisable]),"")</f>
        <v/>
      </c>
      <c r="AE151" s="121" t="str">
        <f>IF(X151&lt;&gt;"",SUMIF(Rencontres_N3_PN_Rx[Code_JA],X151,Rencontres_N3_PN_Rx[frais defiscalisable]),"")</f>
        <v/>
      </c>
    </row>
    <row r="152" spans="1:31" ht="15" customHeight="1" x14ac:dyDescent="0.25">
      <c r="A152" s="19" t="s">
        <v>1385</v>
      </c>
      <c r="B152" s="20" t="s">
        <v>1386</v>
      </c>
      <c r="C152" s="21" t="s">
        <v>1387</v>
      </c>
      <c r="D152" s="21" t="s">
        <v>885</v>
      </c>
      <c r="E152" s="21" t="s">
        <v>1388</v>
      </c>
      <c r="F152" s="19">
        <v>76000</v>
      </c>
      <c r="G152" s="21" t="s">
        <v>411</v>
      </c>
      <c r="H152" s="42" t="s">
        <v>1389</v>
      </c>
      <c r="I152" s="43"/>
      <c r="J152" s="43" t="s">
        <v>1390</v>
      </c>
      <c r="K152" s="44" t="s">
        <v>117</v>
      </c>
      <c r="L152" s="21" t="s">
        <v>118</v>
      </c>
      <c r="M152" s="19">
        <f>_xlfn.XLOOKUP(tab_JA[[#This Row],[Code]],Rencontres_N3_PN_Rx[Code_JA],Rencontres_N3_PN_Rx[prest],0,0)</f>
        <v>0</v>
      </c>
      <c r="N152" s="19" t="s">
        <v>36</v>
      </c>
      <c r="O152" s="26"/>
      <c r="P152" s="27">
        <f>SUMIF(Rencontres_N3_PN_Rx[Code_JA],tab_JA[[#This Row],[Code]],Rencontres_N3_PN_Rx[Frais_JA])</f>
        <v>0</v>
      </c>
      <c r="W152" s="31" t="str">
        <f>IF(X152&lt;&gt;"",_xlfn.XLOOKUP(X152,tab_JA[Code],tab_JA[N_licence],"so"),"")</f>
        <v/>
      </c>
      <c r="X152" s="32"/>
      <c r="AA152" s="33" t="s">
        <v>2552</v>
      </c>
      <c r="AB152" s="33" t="s">
        <v>2552</v>
      </c>
      <c r="AC152" s="33" t="s">
        <v>2552</v>
      </c>
      <c r="AD152" s="34" t="str">
        <f>IF(X152&lt;&gt;"",SUMIF(Rencontres_N3_PN_Rx[Code_JA],X152,Rencontres_N3_PN_Rx[Frais_JA])-SUMIF(Rencontres_N3_PN_Rx[Code_JA],X152,Rencontres_N3_PN_Rx[frais defiscalisable]),"")</f>
        <v/>
      </c>
      <c r="AE152" s="121" t="str">
        <f>IF(X152&lt;&gt;"",SUMIF(Rencontres_N3_PN_Rx[Code_JA],X152,Rencontres_N3_PN_Rx[frais defiscalisable]),"")</f>
        <v/>
      </c>
    </row>
    <row r="153" spans="1:31" ht="15" customHeight="1" x14ac:dyDescent="0.25">
      <c r="A153" s="19" t="s">
        <v>1391</v>
      </c>
      <c r="B153" s="20" t="s">
        <v>1392</v>
      </c>
      <c r="C153" s="21" t="s">
        <v>1393</v>
      </c>
      <c r="D153" s="21" t="s">
        <v>1394</v>
      </c>
      <c r="E153" s="21" t="s">
        <v>1395</v>
      </c>
      <c r="F153" s="19">
        <v>61250</v>
      </c>
      <c r="G153" s="21" t="s">
        <v>1396</v>
      </c>
      <c r="H153" s="42" t="s">
        <v>1397</v>
      </c>
      <c r="I153" s="43" t="s">
        <v>1398</v>
      </c>
      <c r="J153" s="43" t="s">
        <v>1399</v>
      </c>
      <c r="K153" s="44" t="s">
        <v>324</v>
      </c>
      <c r="L153" s="21" t="s">
        <v>325</v>
      </c>
      <c r="M153" s="19">
        <f>_xlfn.XLOOKUP(tab_JA[[#This Row],[Code]],Rencontres_N3_PN_Rx[Code_JA],Rencontres_N3_PN_Rx[prest],0,0)</f>
        <v>0</v>
      </c>
      <c r="N153" s="19" t="s">
        <v>36</v>
      </c>
      <c r="O153" s="26"/>
      <c r="P153" s="27">
        <f>SUMIF(Rencontres_N3_PN_Rx[Code_JA],tab_JA[[#This Row],[Code]],Rencontres_N3_PN_Rx[Frais_JA])</f>
        <v>0</v>
      </c>
      <c r="W153" s="31" t="str">
        <f>IF(X153&lt;&gt;"",_xlfn.XLOOKUP(X153,tab_JA[Code],tab_JA[N_licence],"so"),"")</f>
        <v/>
      </c>
      <c r="X153" s="32"/>
      <c r="AA153" s="33" t="s">
        <v>2552</v>
      </c>
      <c r="AB153" s="33" t="s">
        <v>2552</v>
      </c>
      <c r="AC153" s="33" t="s">
        <v>2552</v>
      </c>
      <c r="AD153" s="34" t="str">
        <f>IF(X153&lt;&gt;"",SUMIF(Rencontres_N3_PN_Rx[Code_JA],X153,Rencontres_N3_PN_Rx[Frais_JA])-SUMIF(Rencontres_N3_PN_Rx[Code_JA],X153,Rencontres_N3_PN_Rx[frais defiscalisable]),"")</f>
        <v/>
      </c>
      <c r="AE153" s="121" t="str">
        <f>IF(X153&lt;&gt;"",SUMIF(Rencontres_N3_PN_Rx[Code_JA],X153,Rencontres_N3_PN_Rx[frais defiscalisable]),"")</f>
        <v/>
      </c>
    </row>
    <row r="154" spans="1:31" ht="15" customHeight="1" x14ac:dyDescent="0.25">
      <c r="A154" s="19" t="s">
        <v>1400</v>
      </c>
      <c r="B154" s="20" t="s">
        <v>1401</v>
      </c>
      <c r="C154" s="21" t="s">
        <v>1393</v>
      </c>
      <c r="D154" s="21" t="s">
        <v>790</v>
      </c>
      <c r="E154" s="21" t="s">
        <v>1402</v>
      </c>
      <c r="F154" s="19">
        <v>61000</v>
      </c>
      <c r="G154" s="21" t="s">
        <v>1403</v>
      </c>
      <c r="H154" s="42" t="s">
        <v>1404</v>
      </c>
      <c r="I154" s="43" t="s">
        <v>1398</v>
      </c>
      <c r="J154" s="43" t="s">
        <v>1405</v>
      </c>
      <c r="K154" s="44" t="s">
        <v>324</v>
      </c>
      <c r="L154" s="21" t="s">
        <v>325</v>
      </c>
      <c r="M154" s="19">
        <f>_xlfn.XLOOKUP(tab_JA[[#This Row],[Code]],Rencontres_N3_PN_Rx[Code_JA],Rencontres_N3_PN_Rx[prest],0,0)</f>
        <v>0</v>
      </c>
      <c r="N154" s="19" t="s">
        <v>36</v>
      </c>
      <c r="O154" s="26"/>
      <c r="P154" s="27">
        <f>SUMIF(Rencontres_N3_PN_Rx[Code_JA],tab_JA[[#This Row],[Code]],Rencontres_N3_PN_Rx[Frais_JA])</f>
        <v>0</v>
      </c>
      <c r="W154" s="31" t="str">
        <f>IF(X154&lt;&gt;"",_xlfn.XLOOKUP(X154,tab_JA[Code],tab_JA[N_licence],"so"),"")</f>
        <v/>
      </c>
      <c r="X154" s="32"/>
      <c r="AA154" s="33" t="s">
        <v>2552</v>
      </c>
      <c r="AB154" s="33" t="s">
        <v>2552</v>
      </c>
      <c r="AC154" s="33" t="s">
        <v>2552</v>
      </c>
      <c r="AD154" s="34" t="str">
        <f>IF(X154&lt;&gt;"",SUMIF(Rencontres_N3_PN_Rx[Code_JA],X154,Rencontres_N3_PN_Rx[Frais_JA])-SUMIF(Rencontres_N3_PN_Rx[Code_JA],X154,Rencontres_N3_PN_Rx[frais defiscalisable]),"")</f>
        <v/>
      </c>
      <c r="AE154" s="121" t="str">
        <f>IF(X154&lt;&gt;"",SUMIF(Rencontres_N3_PN_Rx[Code_JA],X154,Rencontres_N3_PN_Rx[frais defiscalisable]),"")</f>
        <v/>
      </c>
    </row>
    <row r="155" spans="1:31" ht="15" customHeight="1" x14ac:dyDescent="0.25">
      <c r="A155" s="19" t="s">
        <v>1406</v>
      </c>
      <c r="B155" s="20" t="s">
        <v>1407</v>
      </c>
      <c r="C155" s="21" t="s">
        <v>1408</v>
      </c>
      <c r="D155" s="21" t="s">
        <v>1409</v>
      </c>
      <c r="E155" s="21" t="s">
        <v>1410</v>
      </c>
      <c r="F155" s="19">
        <v>14600</v>
      </c>
      <c r="G155" s="21" t="s">
        <v>1411</v>
      </c>
      <c r="H155" s="42" t="s">
        <v>1412</v>
      </c>
      <c r="I155" s="43"/>
      <c r="J155" s="43" t="s">
        <v>1413</v>
      </c>
      <c r="K155" s="44" t="s">
        <v>1414</v>
      </c>
      <c r="L155" s="21" t="s">
        <v>1415</v>
      </c>
      <c r="M155" s="19">
        <f>_xlfn.XLOOKUP(tab_JA[[#This Row],[Code]],Rencontres_N3_PN_Rx[Code_JA],Rencontres_N3_PN_Rx[prest],0,0)</f>
        <v>0</v>
      </c>
      <c r="N155" s="19" t="s">
        <v>36</v>
      </c>
      <c r="O155" s="26"/>
      <c r="P155" s="27">
        <f>SUMIF(Rencontres_N3_PN_Rx[Code_JA],tab_JA[[#This Row],[Code]],Rencontres_N3_PN_Rx[Frais_JA])</f>
        <v>0</v>
      </c>
      <c r="W155" s="31" t="str">
        <f>IF(X155&lt;&gt;"",_xlfn.XLOOKUP(X155,tab_JA[Code],tab_JA[N_licence],"so"),"")</f>
        <v/>
      </c>
      <c r="X155" s="32"/>
      <c r="AA155" s="33" t="s">
        <v>2552</v>
      </c>
      <c r="AB155" s="33" t="s">
        <v>2552</v>
      </c>
      <c r="AC155" s="33" t="s">
        <v>2552</v>
      </c>
      <c r="AD155" s="34" t="str">
        <f>IF(X155&lt;&gt;"",SUMIF(Rencontres_N3_PN_Rx[Code_JA],X155,Rencontres_N3_PN_Rx[Frais_JA])-SUMIF(Rencontres_N3_PN_Rx[Code_JA],X155,Rencontres_N3_PN_Rx[frais defiscalisable]),"")</f>
        <v/>
      </c>
      <c r="AE155" s="121" t="str">
        <f>IF(X155&lt;&gt;"",SUMIF(Rencontres_N3_PN_Rx[Code_JA],X155,Rencontres_N3_PN_Rx[frais defiscalisable]),"")</f>
        <v/>
      </c>
    </row>
    <row r="156" spans="1:31" ht="15" customHeight="1" x14ac:dyDescent="0.25">
      <c r="A156" s="19" t="s">
        <v>1441</v>
      </c>
      <c r="B156" s="20" t="s">
        <v>1442</v>
      </c>
      <c r="C156" s="21" t="s">
        <v>1443</v>
      </c>
      <c r="D156" s="21" t="s">
        <v>591</v>
      </c>
      <c r="E156" s="21" t="s">
        <v>1444</v>
      </c>
      <c r="F156" s="19">
        <v>50750</v>
      </c>
      <c r="G156" s="21" t="s">
        <v>1445</v>
      </c>
      <c r="H156" s="42" t="s">
        <v>1446</v>
      </c>
      <c r="I156" s="43"/>
      <c r="J156" s="43" t="s">
        <v>1447</v>
      </c>
      <c r="K156" s="44" t="s">
        <v>1179</v>
      </c>
      <c r="L156" s="21" t="s">
        <v>1180</v>
      </c>
      <c r="M156" s="19">
        <f>_xlfn.XLOOKUP(tab_JA[[#This Row],[Code]],Rencontres_N3_PN_Rx[Code_JA],Rencontres_N3_PN_Rx[prest],0,0)</f>
        <v>2</v>
      </c>
      <c r="N156" s="19" t="s">
        <v>36</v>
      </c>
      <c r="O156" s="26"/>
      <c r="P156" s="27">
        <f>SUMIF(Rencontres_N3_PN_Rx[Code_JA],tab_JA[[#This Row],[Code]],Rencontres_N3_PN_Rx[Frais_JA])</f>
        <v>0</v>
      </c>
      <c r="W156" s="31" t="str">
        <f>IF(X156&lt;&gt;"",_xlfn.XLOOKUP(X156,tab_JA[Code],tab_JA[N_licence],"so"),"")</f>
        <v/>
      </c>
      <c r="X156" s="32"/>
      <c r="AA156" s="33" t="s">
        <v>2552</v>
      </c>
      <c r="AB156" s="33" t="s">
        <v>2552</v>
      </c>
      <c r="AC156" s="33" t="s">
        <v>2552</v>
      </c>
      <c r="AD156" s="34" t="str">
        <f>IF(X156&lt;&gt;"",SUMIF(Rencontres_N3_PN_Rx[Code_JA],X156,Rencontres_N3_PN_Rx[Frais_JA])-SUMIF(Rencontres_N3_PN_Rx[Code_JA],X156,Rencontres_N3_PN_Rx[frais defiscalisable]),"")</f>
        <v/>
      </c>
      <c r="AE156" s="121" t="str">
        <f>IF(X156&lt;&gt;"",SUMIF(Rencontres_N3_PN_Rx[Code_JA],X156,Rencontres_N3_PN_Rx[frais defiscalisable]),"")</f>
        <v/>
      </c>
    </row>
    <row r="157" spans="1:31" ht="15" customHeight="1" x14ac:dyDescent="0.25">
      <c r="A157" s="19" t="s">
        <v>1416</v>
      </c>
      <c r="B157" s="20" t="s">
        <v>1417</v>
      </c>
      <c r="C157" s="21" t="s">
        <v>1418</v>
      </c>
      <c r="D157" s="21" t="s">
        <v>526</v>
      </c>
      <c r="E157" s="21" t="s">
        <v>1419</v>
      </c>
      <c r="F157" s="19">
        <v>76710</v>
      </c>
      <c r="G157" s="21" t="s">
        <v>1420</v>
      </c>
      <c r="H157" s="42" t="s">
        <v>1421</v>
      </c>
      <c r="I157" s="43" t="s">
        <v>1422</v>
      </c>
      <c r="J157" s="43" t="s">
        <v>1423</v>
      </c>
      <c r="K157" s="44" t="s">
        <v>414</v>
      </c>
      <c r="L157" s="21" t="s">
        <v>415</v>
      </c>
      <c r="M157" s="19">
        <f>_xlfn.XLOOKUP(tab_JA[[#This Row],[Code]],Rencontres_N3_PN_Rx[Code_JA],Rencontres_N3_PN_Rx[prest],0,0)</f>
        <v>0</v>
      </c>
      <c r="N157" s="19" t="s">
        <v>36</v>
      </c>
      <c r="O157" s="26"/>
      <c r="P157" s="27">
        <f>SUMIF(Rencontres_N3_PN_Rx[Code_JA],tab_JA[[#This Row],[Code]],Rencontres_N3_PN_Rx[Frais_JA])</f>
        <v>0</v>
      </c>
      <c r="W157" s="31" t="str">
        <f>IF(X157&lt;&gt;"",_xlfn.XLOOKUP(X157,tab_JA[Code],tab_JA[N_licence],"so"),"")</f>
        <v/>
      </c>
      <c r="X157" s="32"/>
      <c r="AA157" s="33" t="s">
        <v>2552</v>
      </c>
      <c r="AB157" s="33" t="s">
        <v>2552</v>
      </c>
      <c r="AC157" s="33" t="s">
        <v>2552</v>
      </c>
      <c r="AD157" s="34" t="str">
        <f>IF(X157&lt;&gt;"",SUMIF(Rencontres_N3_PN_Rx[Code_JA],X157,Rencontres_N3_PN_Rx[Frais_JA])-SUMIF(Rencontres_N3_PN_Rx[Code_JA],X157,Rencontres_N3_PN_Rx[frais defiscalisable]),"")</f>
        <v/>
      </c>
      <c r="AE157" s="121" t="str">
        <f>IF(X157&lt;&gt;"",SUMIF(Rencontres_N3_PN_Rx[Code_JA],X157,Rencontres_N3_PN_Rx[frais defiscalisable]),"")</f>
        <v/>
      </c>
    </row>
    <row r="158" spans="1:31" ht="15" customHeight="1" x14ac:dyDescent="0.25">
      <c r="A158" s="19" t="s">
        <v>3297</v>
      </c>
      <c r="B158" s="20" t="s">
        <v>1424</v>
      </c>
      <c r="C158" s="21" t="s">
        <v>1425</v>
      </c>
      <c r="D158" s="21" t="s">
        <v>998</v>
      </c>
      <c r="E158" s="21" t="s">
        <v>1426</v>
      </c>
      <c r="F158" s="19">
        <v>72610</v>
      </c>
      <c r="G158" s="21" t="s">
        <v>1427</v>
      </c>
      <c r="H158" s="42" t="s">
        <v>1428</v>
      </c>
      <c r="I158" s="43" t="s">
        <v>1429</v>
      </c>
      <c r="J158" s="43" t="s">
        <v>1430</v>
      </c>
      <c r="K158" s="44" t="s">
        <v>324</v>
      </c>
      <c r="L158" s="21" t="s">
        <v>325</v>
      </c>
      <c r="M158" s="19">
        <f>_xlfn.XLOOKUP(tab_JA[[#This Row],[Code]],Rencontres_N3_PN_Rx[Code_JA],Rencontres_N3_PN_Rx[prest],0,0)</f>
        <v>0</v>
      </c>
      <c r="N158" s="19" t="s">
        <v>36</v>
      </c>
      <c r="O158" s="26"/>
      <c r="P158" s="27">
        <f>SUMIF(Rencontres_N3_PN_Rx[Code_JA],tab_JA[[#This Row],[Code]],Rencontres_N3_PN_Rx[Frais_JA])</f>
        <v>0</v>
      </c>
      <c r="W158" s="31" t="str">
        <f>IF(X158&lt;&gt;"",_xlfn.XLOOKUP(X158,tab_JA[Code],tab_JA[N_licence],"so"),"")</f>
        <v/>
      </c>
      <c r="X158" s="32"/>
      <c r="AA158" s="33" t="s">
        <v>2552</v>
      </c>
      <c r="AB158" s="33" t="s">
        <v>2552</v>
      </c>
      <c r="AC158" s="33" t="s">
        <v>2552</v>
      </c>
      <c r="AD158" s="34" t="str">
        <f>IF(X158&lt;&gt;"",SUMIF(Rencontres_N3_PN_Rx[Code_JA],X158,Rencontres_N3_PN_Rx[Frais_JA])-SUMIF(Rencontres_N3_PN_Rx[Code_JA],X158,Rencontres_N3_PN_Rx[frais defiscalisable]),"")</f>
        <v/>
      </c>
      <c r="AE158" s="121" t="str">
        <f>IF(X158&lt;&gt;"",SUMIF(Rencontres_N3_PN_Rx[Code_JA],X158,Rencontres_N3_PN_Rx[frais defiscalisable]),"")</f>
        <v/>
      </c>
    </row>
    <row r="159" spans="1:31" ht="15" customHeight="1" x14ac:dyDescent="0.25">
      <c r="A159" s="19" t="s">
        <v>1431</v>
      </c>
      <c r="B159" s="20" t="s">
        <v>1432</v>
      </c>
      <c r="C159" s="21" t="s">
        <v>1433</v>
      </c>
      <c r="D159" s="21" t="s">
        <v>1110</v>
      </c>
      <c r="E159" s="21" t="s">
        <v>1434</v>
      </c>
      <c r="F159" s="19">
        <v>14500</v>
      </c>
      <c r="G159" s="21" t="s">
        <v>1435</v>
      </c>
      <c r="H159" s="42" t="s">
        <v>1436</v>
      </c>
      <c r="I159" s="43" t="s">
        <v>1437</v>
      </c>
      <c r="J159" s="43" t="s">
        <v>1438</v>
      </c>
      <c r="K159" s="44" t="s">
        <v>1439</v>
      </c>
      <c r="L159" s="21" t="s">
        <v>1440</v>
      </c>
      <c r="M159" s="19">
        <f>_xlfn.XLOOKUP(tab_JA[[#This Row],[Code]],Rencontres_N3_PN_Rx[Code_JA],Rencontres_N3_PN_Rx[prest],0,0)</f>
        <v>0</v>
      </c>
      <c r="N159" s="19" t="s">
        <v>36</v>
      </c>
      <c r="O159" s="26"/>
      <c r="P159" s="27">
        <f>SUMIF(Rencontres_N3_PN_Rx[Code_JA],tab_JA[[#This Row],[Code]],Rencontres_N3_PN_Rx[Frais_JA])</f>
        <v>0</v>
      </c>
      <c r="W159" s="31" t="str">
        <f>IF(X159&lt;&gt;"",_xlfn.XLOOKUP(X159,tab_JA[Code],tab_JA[N_licence],"so"),"")</f>
        <v/>
      </c>
      <c r="X159" s="32"/>
      <c r="AA159" s="33" t="s">
        <v>2552</v>
      </c>
      <c r="AB159" s="33" t="s">
        <v>2552</v>
      </c>
      <c r="AC159" s="33" t="s">
        <v>2552</v>
      </c>
      <c r="AD159" s="34" t="str">
        <f>IF(X159&lt;&gt;"",SUMIF(Rencontres_N3_PN_Rx[Code_JA],X159,Rencontres_N3_PN_Rx[Frais_JA])-SUMIF(Rencontres_N3_PN_Rx[Code_JA],X159,Rencontres_N3_PN_Rx[frais defiscalisable]),"")</f>
        <v/>
      </c>
      <c r="AE159" s="121" t="str">
        <f>IF(X159&lt;&gt;"",SUMIF(Rencontres_N3_PN_Rx[Code_JA],X159,Rencontres_N3_PN_Rx[frais defiscalisable]),"")</f>
        <v/>
      </c>
    </row>
    <row r="160" spans="1:31" ht="15" customHeight="1" x14ac:dyDescent="0.25">
      <c r="A160" s="19" t="s">
        <v>3298</v>
      </c>
      <c r="B160" s="20" t="s">
        <v>1448</v>
      </c>
      <c r="C160" s="21" t="s">
        <v>1449</v>
      </c>
      <c r="D160" s="21" t="s">
        <v>310</v>
      </c>
      <c r="E160" s="21" t="s">
        <v>1450</v>
      </c>
      <c r="F160" s="19">
        <v>14140</v>
      </c>
      <c r="G160" s="21" t="s">
        <v>1451</v>
      </c>
      <c r="H160" s="42" t="s">
        <v>1452</v>
      </c>
      <c r="I160" s="43" t="s">
        <v>1453</v>
      </c>
      <c r="J160" s="43" t="s">
        <v>1454</v>
      </c>
      <c r="K160" s="44" t="s">
        <v>823</v>
      </c>
      <c r="L160" s="21" t="s">
        <v>824</v>
      </c>
      <c r="M160" s="19">
        <f>_xlfn.XLOOKUP(tab_JA[[#This Row],[Code]],Rencontres_N3_PN_Rx[Code_JA],Rencontres_N3_PN_Rx[prest],0,0)</f>
        <v>0</v>
      </c>
      <c r="N160" s="19" t="s">
        <v>36</v>
      </c>
      <c r="O160" s="26"/>
      <c r="P160" s="27">
        <f>SUMIF(Rencontres_N3_PN_Rx[Code_JA],tab_JA[[#This Row],[Code]],Rencontres_N3_PN_Rx[Frais_JA])</f>
        <v>0</v>
      </c>
      <c r="W160" s="31" t="str">
        <f>IF(X160&lt;&gt;"",_xlfn.XLOOKUP(X160,tab_JA[Code],tab_JA[N_licence],"so"),"")</f>
        <v/>
      </c>
      <c r="X160" s="32"/>
      <c r="AA160" s="33" t="s">
        <v>2552</v>
      </c>
      <c r="AB160" s="33" t="s">
        <v>2552</v>
      </c>
      <c r="AC160" s="33" t="s">
        <v>2552</v>
      </c>
      <c r="AD160" s="34" t="str">
        <f>IF(X160&lt;&gt;"",SUMIF(Rencontres_N3_PN_Rx[Code_JA],X160,Rencontres_N3_PN_Rx[Frais_JA])-SUMIF(Rencontres_N3_PN_Rx[Code_JA],X160,Rencontres_N3_PN_Rx[frais defiscalisable]),"")</f>
        <v/>
      </c>
      <c r="AE160" s="121" t="str">
        <f>IF(X160&lt;&gt;"",SUMIF(Rencontres_N3_PN_Rx[Code_JA],X160,Rencontres_N3_PN_Rx[frais defiscalisable]),"")</f>
        <v/>
      </c>
    </row>
    <row r="161" spans="1:31" ht="15" customHeight="1" x14ac:dyDescent="0.25">
      <c r="A161" s="19" t="s">
        <v>1691</v>
      </c>
      <c r="B161" s="20" t="s">
        <v>1692</v>
      </c>
      <c r="C161" s="21" t="s">
        <v>1693</v>
      </c>
      <c r="D161" s="21" t="s">
        <v>877</v>
      </c>
      <c r="E161" s="21" t="s">
        <v>1694</v>
      </c>
      <c r="F161" s="19">
        <v>76600</v>
      </c>
      <c r="G161" s="21" t="s">
        <v>828</v>
      </c>
      <c r="H161" s="42" t="s">
        <v>1695</v>
      </c>
      <c r="I161" s="43" t="s">
        <v>1696</v>
      </c>
      <c r="J161" s="43" t="s">
        <v>1697</v>
      </c>
      <c r="K161" s="44" t="s">
        <v>450</v>
      </c>
      <c r="L161" s="21" t="s">
        <v>451</v>
      </c>
      <c r="M161" s="19">
        <f>_xlfn.XLOOKUP(tab_JA[[#This Row],[Code]],Rencontres_N3_PN_Rx[Code_JA],Rencontres_N3_PN_Rx[prest],0,0)</f>
        <v>0</v>
      </c>
      <c r="N161" s="19" t="s">
        <v>36</v>
      </c>
      <c r="O161" s="26"/>
      <c r="P161" s="27">
        <f>SUMIF(Rencontres_N3_PN_Rx[Code_JA],tab_JA[[#This Row],[Code]],Rencontres_N3_PN_Rx[Frais_JA])</f>
        <v>0</v>
      </c>
      <c r="W161" s="31" t="str">
        <f>IF(X161&lt;&gt;"",_xlfn.XLOOKUP(X161,tab_JA[Code],tab_JA[N_licence],"so"),"")</f>
        <v/>
      </c>
      <c r="X161" s="32"/>
      <c r="AA161" s="33" t="s">
        <v>2552</v>
      </c>
      <c r="AB161" s="33" t="s">
        <v>2552</v>
      </c>
      <c r="AC161" s="33" t="s">
        <v>2552</v>
      </c>
      <c r="AD161" s="34" t="str">
        <f>IF(X161&lt;&gt;"",SUMIF(Rencontres_N3_PN_Rx[Code_JA],X161,Rencontres_N3_PN_Rx[Frais_JA])-SUMIF(Rencontres_N3_PN_Rx[Code_JA],X161,Rencontres_N3_PN_Rx[frais defiscalisable]),"")</f>
        <v/>
      </c>
      <c r="AE161" s="121" t="str">
        <f>IF(X161&lt;&gt;"",SUMIF(Rencontres_N3_PN_Rx[Code_JA],X161,Rencontres_N3_PN_Rx[frais defiscalisable]),"")</f>
        <v/>
      </c>
    </row>
    <row r="162" spans="1:31" ht="15" customHeight="1" x14ac:dyDescent="0.25">
      <c r="A162" s="19" t="s">
        <v>1786</v>
      </c>
      <c r="B162" s="46" t="s">
        <v>1787</v>
      </c>
      <c r="C162" s="21" t="s">
        <v>1788</v>
      </c>
      <c r="D162" s="21" t="s">
        <v>1789</v>
      </c>
      <c r="E162" s="21" t="s">
        <v>1790</v>
      </c>
      <c r="F162" s="19">
        <v>50240</v>
      </c>
      <c r="G162" s="21" t="s">
        <v>474</v>
      </c>
      <c r="H162" s="42" t="s">
        <v>1791</v>
      </c>
      <c r="I162" s="43" t="s">
        <v>1792</v>
      </c>
      <c r="J162" s="43" t="s">
        <v>1793</v>
      </c>
      <c r="K162" s="45" t="s">
        <v>478</v>
      </c>
      <c r="L162" s="21" t="s">
        <v>479</v>
      </c>
      <c r="M162" s="19">
        <f>_xlfn.XLOOKUP(tab_JA[[#This Row],[Code]],Rencontres_N3_PN_Rx[Code_JA],Rencontres_N3_PN_Rx[prest],0,0)</f>
        <v>6</v>
      </c>
      <c r="N162" s="19" t="s">
        <v>36</v>
      </c>
      <c r="O162" s="26"/>
      <c r="P162" s="27">
        <f>SUMIF(Rencontres_N3_PN_Rx[Code_JA],tab_JA[[#This Row],[Code]],Rencontres_N3_PN_Rx[Frais_JA])</f>
        <v>144.10000000000002</v>
      </c>
      <c r="W162" s="31" t="str">
        <f>IF(X162&lt;&gt;"",_xlfn.XLOOKUP(X162,tab_JA[Code],tab_JA[N_licence],"so"),"")</f>
        <v/>
      </c>
      <c r="X162" s="32"/>
      <c r="AA162" s="33" t="s">
        <v>2552</v>
      </c>
      <c r="AB162" s="33" t="s">
        <v>2552</v>
      </c>
      <c r="AC162" s="33" t="s">
        <v>2552</v>
      </c>
      <c r="AD162" s="34" t="str">
        <f>IF(X162&lt;&gt;"",SUMIF(Rencontres_N3_PN_Rx[Code_JA],X162,Rencontres_N3_PN_Rx[Frais_JA])-SUMIF(Rencontres_N3_PN_Rx[Code_JA],X162,Rencontres_N3_PN_Rx[frais defiscalisable]),"")</f>
        <v/>
      </c>
      <c r="AE162" s="121" t="str">
        <f>IF(X162&lt;&gt;"",SUMIF(Rencontres_N3_PN_Rx[Code_JA],X162,Rencontres_N3_PN_Rx[frais defiscalisable]),"")</f>
        <v/>
      </c>
    </row>
    <row r="163" spans="1:31" ht="15" customHeight="1" x14ac:dyDescent="0.25">
      <c r="A163" s="19" t="s">
        <v>3309</v>
      </c>
      <c r="B163" s="20" t="s">
        <v>1644</v>
      </c>
      <c r="C163" s="21" t="s">
        <v>1645</v>
      </c>
      <c r="D163" s="21" t="s">
        <v>608</v>
      </c>
      <c r="E163" s="21" t="s">
        <v>1646</v>
      </c>
      <c r="F163" s="19">
        <v>27310</v>
      </c>
      <c r="G163" s="21" t="s">
        <v>593</v>
      </c>
      <c r="H163" s="42" t="s">
        <v>1647</v>
      </c>
      <c r="I163" s="43" t="s">
        <v>1648</v>
      </c>
      <c r="J163" s="43"/>
      <c r="K163" s="44" t="s">
        <v>597</v>
      </c>
      <c r="L163" s="21" t="s">
        <v>598</v>
      </c>
      <c r="M163" s="19">
        <f>_xlfn.XLOOKUP(tab_JA[[#This Row],[Code]],Rencontres_N3_PN_Rx[Code_JA],Rencontres_N3_PN_Rx[prest],0,0)</f>
        <v>0</v>
      </c>
      <c r="N163" s="19" t="s">
        <v>36</v>
      </c>
      <c r="O163" s="26"/>
      <c r="P163" s="27">
        <f>SUMIF(Rencontres_N3_PN_Rx[Code_JA],tab_JA[[#This Row],[Code]],Rencontres_N3_PN_Rx[Frais_JA])</f>
        <v>0</v>
      </c>
      <c r="W163" s="31" t="str">
        <f>IF(X163&lt;&gt;"",_xlfn.XLOOKUP(X163,tab_JA[Code],tab_JA[N_licence],"so"),"")</f>
        <v/>
      </c>
      <c r="X163" s="32"/>
      <c r="AA163" s="33" t="s">
        <v>2552</v>
      </c>
      <c r="AB163" s="33" t="s">
        <v>2552</v>
      </c>
      <c r="AC163" s="33" t="s">
        <v>2552</v>
      </c>
      <c r="AD163" s="34" t="str">
        <f>IF(X163&lt;&gt;"",SUMIF(Rencontres_N3_PN_Rx[Code_JA],X163,Rencontres_N3_PN_Rx[Frais_JA])-SUMIF(Rencontres_N3_PN_Rx[Code_JA],X163,Rencontres_N3_PN_Rx[frais defiscalisable]),"")</f>
        <v/>
      </c>
      <c r="AE163" s="121" t="str">
        <f>IF(X163&lt;&gt;"",SUMIF(Rencontres_N3_PN_Rx[Code_JA],X163,Rencontres_N3_PN_Rx[frais defiscalisable]),"")</f>
        <v/>
      </c>
    </row>
    <row r="164" spans="1:31" ht="15" customHeight="1" x14ac:dyDescent="0.25">
      <c r="A164" s="19" t="s">
        <v>3304</v>
      </c>
      <c r="B164" s="20" t="s">
        <v>1559</v>
      </c>
      <c r="C164" s="21" t="s">
        <v>1560</v>
      </c>
      <c r="D164" s="21" t="s">
        <v>1561</v>
      </c>
      <c r="E164" s="21" t="s">
        <v>1562</v>
      </c>
      <c r="F164" s="19">
        <v>76120</v>
      </c>
      <c r="G164" s="21" t="s">
        <v>913</v>
      </c>
      <c r="H164" s="42" t="s">
        <v>1563</v>
      </c>
      <c r="I164" s="43" t="s">
        <v>1564</v>
      </c>
      <c r="J164" s="43" t="s">
        <v>1565</v>
      </c>
      <c r="K164" s="44" t="s">
        <v>414</v>
      </c>
      <c r="L164" s="21" t="s">
        <v>415</v>
      </c>
      <c r="M164" s="19">
        <f>_xlfn.XLOOKUP(tab_JA[[#This Row],[Code]],Rencontres_N3_PN_Rx[Code_JA],Rencontres_N3_PN_Rx[prest],0,0)</f>
        <v>0</v>
      </c>
      <c r="N164" s="19" t="s">
        <v>36</v>
      </c>
      <c r="O164" s="26"/>
      <c r="P164" s="27">
        <f>SUMIF(Rencontres_N3_PN_Rx[Code_JA],tab_JA[[#This Row],[Code]],Rencontres_N3_PN_Rx[Frais_JA])</f>
        <v>0</v>
      </c>
      <c r="W164" s="31" t="str">
        <f>IF(X164&lt;&gt;"",_xlfn.XLOOKUP(X164,tab_JA[Code],tab_JA[N_licence],"so"),"")</f>
        <v/>
      </c>
      <c r="X164" s="32"/>
      <c r="AA164" s="33" t="s">
        <v>2552</v>
      </c>
      <c r="AB164" s="33" t="s">
        <v>2552</v>
      </c>
      <c r="AC164" s="33" t="s">
        <v>2552</v>
      </c>
      <c r="AD164" s="34" t="str">
        <f>IF(X164&lt;&gt;"",SUMIF(Rencontres_N3_PN_Rx[Code_JA],X164,Rencontres_N3_PN_Rx[Frais_JA])-SUMIF(Rencontres_N3_PN_Rx[Code_JA],X164,Rencontres_N3_PN_Rx[frais defiscalisable]),"")</f>
        <v/>
      </c>
      <c r="AE164" s="121" t="str">
        <f>IF(X164&lt;&gt;"",SUMIF(Rencontres_N3_PN_Rx[Code_JA],X164,Rencontres_N3_PN_Rx[frais defiscalisable]),"")</f>
        <v/>
      </c>
    </row>
    <row r="165" spans="1:31" ht="15" customHeight="1" x14ac:dyDescent="0.25">
      <c r="A165" s="19" t="s">
        <v>1455</v>
      </c>
      <c r="B165" s="20" t="s">
        <v>1456</v>
      </c>
      <c r="C165" s="21" t="s">
        <v>1457</v>
      </c>
      <c r="D165" s="21" t="s">
        <v>204</v>
      </c>
      <c r="E165" s="21" t="s">
        <v>1458</v>
      </c>
      <c r="F165" s="19">
        <v>76100</v>
      </c>
      <c r="G165" s="21" t="s">
        <v>1459</v>
      </c>
      <c r="H165" s="42" t="s">
        <v>1460</v>
      </c>
      <c r="I165" s="43" t="s">
        <v>1461</v>
      </c>
      <c r="J165" s="43" t="s">
        <v>1461</v>
      </c>
      <c r="K165" s="44" t="s">
        <v>199</v>
      </c>
      <c r="L165" s="21" t="s">
        <v>200</v>
      </c>
      <c r="M165" s="19">
        <f>_xlfn.XLOOKUP(tab_JA[[#This Row],[Code]],Rencontres_N3_PN_Rx[Code_JA],Rencontres_N3_PN_Rx[prest],0,0)</f>
        <v>0</v>
      </c>
      <c r="N165" s="19" t="s">
        <v>36</v>
      </c>
      <c r="O165" s="26"/>
      <c r="P165" s="27">
        <f>SUMIF(Rencontres_N3_PN_Rx[Code_JA],tab_JA[[#This Row],[Code]],Rencontres_N3_PN_Rx[Frais_JA])</f>
        <v>0</v>
      </c>
      <c r="W165" s="31" t="str">
        <f>IF(X165&lt;&gt;"",_xlfn.XLOOKUP(X165,tab_JA[Code],tab_JA[N_licence],"so"),"")</f>
        <v/>
      </c>
      <c r="X165" s="32"/>
      <c r="AA165" s="33" t="s">
        <v>2552</v>
      </c>
      <c r="AB165" s="33" t="s">
        <v>2552</v>
      </c>
      <c r="AC165" s="33" t="s">
        <v>2552</v>
      </c>
      <c r="AD165" s="34" t="str">
        <f>IF(X165&lt;&gt;"",SUMIF(Rencontres_N3_PN_Rx[Code_JA],X165,Rencontres_N3_PN_Rx[Frais_JA])-SUMIF(Rencontres_N3_PN_Rx[Code_JA],X165,Rencontres_N3_PN_Rx[frais defiscalisable]),"")</f>
        <v/>
      </c>
      <c r="AE165" s="121" t="str">
        <f>IF(X165&lt;&gt;"",SUMIF(Rencontres_N3_PN_Rx[Code_JA],X165,Rencontres_N3_PN_Rx[frais defiscalisable]),"")</f>
        <v/>
      </c>
    </row>
    <row r="166" spans="1:31" ht="15" customHeight="1" x14ac:dyDescent="0.25">
      <c r="A166" s="19" t="s">
        <v>3300</v>
      </c>
      <c r="B166" s="20" t="s">
        <v>1486</v>
      </c>
      <c r="C166" s="21" t="s">
        <v>1487</v>
      </c>
      <c r="D166" s="21" t="s">
        <v>580</v>
      </c>
      <c r="E166" s="21" t="s">
        <v>1488</v>
      </c>
      <c r="F166" s="19">
        <v>14520</v>
      </c>
      <c r="G166" s="21" t="s">
        <v>1489</v>
      </c>
      <c r="H166" s="42" t="s">
        <v>1490</v>
      </c>
      <c r="I166" s="43" t="s">
        <v>1491</v>
      </c>
      <c r="J166" s="43" t="s">
        <v>1492</v>
      </c>
      <c r="K166" s="44" t="s">
        <v>1203</v>
      </c>
      <c r="L166" s="21" t="s">
        <v>1204</v>
      </c>
      <c r="M166" s="19">
        <f>_xlfn.XLOOKUP(tab_JA[[#This Row],[Code]],Rencontres_N3_PN_Rx[Code_JA],Rencontres_N3_PN_Rx[prest],0,0)</f>
        <v>0</v>
      </c>
      <c r="N166" s="19" t="s">
        <v>36</v>
      </c>
      <c r="O166" s="26"/>
      <c r="P166" s="27">
        <f>SUMIF(Rencontres_N3_PN_Rx[Code_JA],tab_JA[[#This Row],[Code]],Rencontres_N3_PN_Rx[Frais_JA])</f>
        <v>0</v>
      </c>
      <c r="W166" s="31" t="str">
        <f>IF(X166&lt;&gt;"",_xlfn.XLOOKUP(X166,tab_JA[Code],tab_JA[N_licence],"so"),"")</f>
        <v/>
      </c>
      <c r="X166" s="32"/>
      <c r="AA166" s="33" t="s">
        <v>2552</v>
      </c>
      <c r="AB166" s="33" t="s">
        <v>2552</v>
      </c>
      <c r="AC166" s="33" t="s">
        <v>2552</v>
      </c>
      <c r="AD166" s="34" t="str">
        <f>IF(X166&lt;&gt;"",SUMIF(Rencontres_N3_PN_Rx[Code_JA],X166,Rencontres_N3_PN_Rx[Frais_JA])-SUMIF(Rencontres_N3_PN_Rx[Code_JA],X166,Rencontres_N3_PN_Rx[frais defiscalisable]),"")</f>
        <v/>
      </c>
      <c r="AE166" s="121" t="str">
        <f>IF(X166&lt;&gt;"",SUMIF(Rencontres_N3_PN_Rx[Code_JA],X166,Rencontres_N3_PN_Rx[frais defiscalisable]),"")</f>
        <v/>
      </c>
    </row>
    <row r="167" spans="1:31" ht="15" customHeight="1" x14ac:dyDescent="0.25">
      <c r="A167" s="19" t="s">
        <v>1566</v>
      </c>
      <c r="B167" s="20" t="s">
        <v>1567</v>
      </c>
      <c r="C167" s="21" t="s">
        <v>1568</v>
      </c>
      <c r="D167" s="21" t="s">
        <v>93</v>
      </c>
      <c r="E167" s="21" t="s">
        <v>1569</v>
      </c>
      <c r="F167" s="19">
        <v>50640</v>
      </c>
      <c r="G167" s="21" t="s">
        <v>1570</v>
      </c>
      <c r="H167" s="42" t="s">
        <v>1571</v>
      </c>
      <c r="I167" s="43" t="s">
        <v>1572</v>
      </c>
      <c r="J167" s="43" t="s">
        <v>1573</v>
      </c>
      <c r="K167" s="44" t="s">
        <v>1574</v>
      </c>
      <c r="L167" s="21" t="s">
        <v>1575</v>
      </c>
      <c r="M167" s="19">
        <f>_xlfn.XLOOKUP(tab_JA[[#This Row],[Code]],Rencontres_N3_PN_Rx[Code_JA],Rencontres_N3_PN_Rx[prest],0,0)</f>
        <v>0</v>
      </c>
      <c r="N167" s="19" t="s">
        <v>36</v>
      </c>
      <c r="O167" s="26"/>
      <c r="P167" s="27">
        <f>SUMIF(Rencontres_N3_PN_Rx[Code_JA],tab_JA[[#This Row],[Code]],Rencontres_N3_PN_Rx[Frais_JA])</f>
        <v>0</v>
      </c>
      <c r="W167" s="31" t="str">
        <f>IF(X167&lt;&gt;"",_xlfn.XLOOKUP(X167,tab_JA[Code],tab_JA[N_licence],"so"),"")</f>
        <v/>
      </c>
      <c r="X167" s="32"/>
      <c r="AA167" s="33" t="s">
        <v>2552</v>
      </c>
      <c r="AB167" s="33" t="s">
        <v>2552</v>
      </c>
      <c r="AC167" s="33" t="s">
        <v>2552</v>
      </c>
      <c r="AD167" s="34" t="str">
        <f>IF(X167&lt;&gt;"",SUMIF(Rencontres_N3_PN_Rx[Code_JA],X167,Rencontres_N3_PN_Rx[Frais_JA])-SUMIF(Rencontres_N3_PN_Rx[Code_JA],X167,Rencontres_N3_PN_Rx[frais defiscalisable]),"")</f>
        <v/>
      </c>
      <c r="AE167" s="121" t="str">
        <f>IF(X167&lt;&gt;"",SUMIF(Rencontres_N3_PN_Rx[Code_JA],X167,Rencontres_N3_PN_Rx[frais defiscalisable]),"")</f>
        <v/>
      </c>
    </row>
    <row r="168" spans="1:31" ht="15" customHeight="1" x14ac:dyDescent="0.25">
      <c r="A168" s="19" t="s">
        <v>1794</v>
      </c>
      <c r="B168" s="20" t="s">
        <v>1795</v>
      </c>
      <c r="C168" s="21" t="s">
        <v>1788</v>
      </c>
      <c r="D168" s="21" t="s">
        <v>628</v>
      </c>
      <c r="E168" s="21" t="s">
        <v>1796</v>
      </c>
      <c r="F168" s="19">
        <v>50240</v>
      </c>
      <c r="G168" s="21" t="s">
        <v>474</v>
      </c>
      <c r="H168" s="42" t="s">
        <v>1791</v>
      </c>
      <c r="I168" s="43" t="s">
        <v>1792</v>
      </c>
      <c r="J168" s="43" t="s">
        <v>1793</v>
      </c>
      <c r="K168" s="44" t="s">
        <v>478</v>
      </c>
      <c r="L168" s="21" t="s">
        <v>479</v>
      </c>
      <c r="M168" s="19">
        <f>_xlfn.XLOOKUP(tab_JA[[#This Row],[Code]],Rencontres_N3_PN_Rx[Code_JA],Rencontres_N3_PN_Rx[prest],0,0)</f>
        <v>6</v>
      </c>
      <c r="N168" s="19" t="s">
        <v>36</v>
      </c>
      <c r="O168" s="26"/>
      <c r="P168" s="27">
        <f>SUMIF(Rencontres_N3_PN_Rx[Code_JA],tab_JA[[#This Row],[Code]],Rencontres_N3_PN_Rx[Frais_JA])</f>
        <v>183.99999999999997</v>
      </c>
      <c r="W168" s="31" t="str">
        <f>IF(X168&lt;&gt;"",_xlfn.XLOOKUP(X168,tab_JA[Code],tab_JA[N_licence],"so"),"")</f>
        <v/>
      </c>
      <c r="X168" s="32"/>
      <c r="AA168" s="33" t="s">
        <v>2552</v>
      </c>
      <c r="AB168" s="33" t="s">
        <v>2552</v>
      </c>
      <c r="AC168" s="33" t="s">
        <v>2552</v>
      </c>
      <c r="AD168" s="34" t="str">
        <f>IF(X168&lt;&gt;"",SUMIF(Rencontres_N3_PN_Rx[Code_JA],X168,Rencontres_N3_PN_Rx[Frais_JA])-SUMIF(Rencontres_N3_PN_Rx[Code_JA],X168,Rencontres_N3_PN_Rx[frais defiscalisable]),"")</f>
        <v/>
      </c>
      <c r="AE168" s="121" t="str">
        <f>IF(X168&lt;&gt;"",SUMIF(Rencontres_N3_PN_Rx[Code_JA],X168,Rencontres_N3_PN_Rx[frais defiscalisable]),"")</f>
        <v/>
      </c>
    </row>
    <row r="169" spans="1:31" ht="15" customHeight="1" x14ac:dyDescent="0.25">
      <c r="A169" s="19" t="s">
        <v>1553</v>
      </c>
      <c r="B169" s="20" t="s">
        <v>1554</v>
      </c>
      <c r="C169" s="21" t="s">
        <v>1555</v>
      </c>
      <c r="D169" s="21" t="s">
        <v>759</v>
      </c>
      <c r="E169" s="21" t="s">
        <v>1556</v>
      </c>
      <c r="F169" s="19">
        <v>14600</v>
      </c>
      <c r="G169" s="21" t="s">
        <v>1411</v>
      </c>
      <c r="H169" s="42" t="s">
        <v>1557</v>
      </c>
      <c r="I169" s="43" t="s">
        <v>1558</v>
      </c>
      <c r="J169" s="43" t="s">
        <v>1558</v>
      </c>
      <c r="K169" s="44" t="s">
        <v>1414</v>
      </c>
      <c r="L169" s="21" t="s">
        <v>1415</v>
      </c>
      <c r="M169" s="19">
        <f>_xlfn.XLOOKUP(tab_JA[[#This Row],[Code]],Rencontres_N3_PN_Rx[Code_JA],Rencontres_N3_PN_Rx[prest],0,0)</f>
        <v>0</v>
      </c>
      <c r="N169" s="19" t="s">
        <v>36</v>
      </c>
      <c r="O169" s="26"/>
      <c r="P169" s="27">
        <f>SUMIF(Rencontres_N3_PN_Rx[Code_JA],tab_JA[[#This Row],[Code]],Rencontres_N3_PN_Rx[Frais_JA])</f>
        <v>0</v>
      </c>
      <c r="W169" s="31" t="str">
        <f>IF(X169&lt;&gt;"",_xlfn.XLOOKUP(X169,tab_JA[Code],tab_JA[N_licence],"so"),"")</f>
        <v/>
      </c>
      <c r="X169" s="32"/>
      <c r="AA169" s="33" t="s">
        <v>2552</v>
      </c>
      <c r="AB169" s="33" t="s">
        <v>2552</v>
      </c>
      <c r="AC169" s="33" t="s">
        <v>2552</v>
      </c>
      <c r="AD169" s="34" t="str">
        <f>IF(X169&lt;&gt;"",SUMIF(Rencontres_N3_PN_Rx[Code_JA],X169,Rencontres_N3_PN_Rx[Frais_JA])-SUMIF(Rencontres_N3_PN_Rx[Code_JA],X169,Rencontres_N3_PN_Rx[frais defiscalisable]),"")</f>
        <v/>
      </c>
      <c r="AE169" s="121" t="str">
        <f>IF(X169&lt;&gt;"",SUMIF(Rencontres_N3_PN_Rx[Code_JA],X169,Rencontres_N3_PN_Rx[frais defiscalisable]),"")</f>
        <v/>
      </c>
    </row>
    <row r="170" spans="1:31" ht="15" customHeight="1" x14ac:dyDescent="0.25">
      <c r="A170" s="19" t="s">
        <v>3313</v>
      </c>
      <c r="B170" s="20" t="s">
        <v>1684</v>
      </c>
      <c r="C170" s="21" t="s">
        <v>1685</v>
      </c>
      <c r="D170" s="21" t="s">
        <v>759</v>
      </c>
      <c r="E170" s="21" t="s">
        <v>1686</v>
      </c>
      <c r="F170" s="19">
        <v>61100</v>
      </c>
      <c r="G170" s="21" t="s">
        <v>1687</v>
      </c>
      <c r="H170" s="42" t="s">
        <v>1688</v>
      </c>
      <c r="I170" s="43" t="s">
        <v>1689</v>
      </c>
      <c r="J170" s="43" t="s">
        <v>1690</v>
      </c>
      <c r="K170" s="44" t="s">
        <v>623</v>
      </c>
      <c r="L170" s="21" t="s">
        <v>624</v>
      </c>
      <c r="M170" s="19">
        <f>_xlfn.XLOOKUP(tab_JA[[#This Row],[Code]],Rencontres_N3_PN_Rx[Code_JA],Rencontres_N3_PN_Rx[prest],0,0)</f>
        <v>0</v>
      </c>
      <c r="N170" s="19" t="s">
        <v>36</v>
      </c>
      <c r="O170" s="26"/>
      <c r="P170" s="27">
        <f>SUMIF(Rencontres_N3_PN_Rx[Code_JA],tab_JA[[#This Row],[Code]],Rencontres_N3_PN_Rx[Frais_JA])</f>
        <v>0</v>
      </c>
      <c r="W170" s="31" t="str">
        <f>IF(X170&lt;&gt;"",_xlfn.XLOOKUP(X170,tab_JA[Code],tab_JA[N_licence],"so"),"")</f>
        <v/>
      </c>
      <c r="X170" s="32"/>
      <c r="AA170" s="33" t="s">
        <v>2552</v>
      </c>
      <c r="AB170" s="33" t="s">
        <v>2552</v>
      </c>
      <c r="AC170" s="33" t="s">
        <v>2552</v>
      </c>
      <c r="AD170" s="34" t="str">
        <f>IF(X170&lt;&gt;"",SUMIF(Rencontres_N3_PN_Rx[Code_JA],X170,Rencontres_N3_PN_Rx[Frais_JA])-SUMIF(Rencontres_N3_PN_Rx[Code_JA],X170,Rencontres_N3_PN_Rx[frais defiscalisable]),"")</f>
        <v/>
      </c>
      <c r="AE170" s="121" t="str">
        <f>IF(X170&lt;&gt;"",SUMIF(Rencontres_N3_PN_Rx[Code_JA],X170,Rencontres_N3_PN_Rx[frais defiscalisable]),"")</f>
        <v/>
      </c>
    </row>
    <row r="171" spans="1:31" ht="15" customHeight="1" x14ac:dyDescent="0.25">
      <c r="A171" s="19" t="s">
        <v>1500</v>
      </c>
      <c r="B171" s="20" t="s">
        <v>1501</v>
      </c>
      <c r="C171" s="21" t="s">
        <v>1502</v>
      </c>
      <c r="D171" s="21" t="s">
        <v>1503</v>
      </c>
      <c r="E171" s="21" t="s">
        <v>1504</v>
      </c>
      <c r="F171" s="19">
        <v>27290</v>
      </c>
      <c r="G171" s="21" t="s">
        <v>1505</v>
      </c>
      <c r="H171" s="42" t="s">
        <v>1506</v>
      </c>
      <c r="I171" s="43"/>
      <c r="J171" s="43" t="s">
        <v>1507</v>
      </c>
      <c r="K171" s="44" t="s">
        <v>1286</v>
      </c>
      <c r="L171" s="21" t="s">
        <v>1287</v>
      </c>
      <c r="M171" s="19">
        <f>_xlfn.XLOOKUP(tab_JA[[#This Row],[Code]],Rencontres_N3_PN_Rx[Code_JA],Rencontres_N3_PN_Rx[prest],0,0)</f>
        <v>0</v>
      </c>
      <c r="N171" s="19" t="s">
        <v>36</v>
      </c>
      <c r="O171" s="26"/>
      <c r="P171" s="27">
        <f>SUMIF(Rencontres_N3_PN_Rx[Code_JA],tab_JA[[#This Row],[Code]],Rencontres_N3_PN_Rx[Frais_JA])</f>
        <v>0</v>
      </c>
      <c r="W171" s="31" t="str">
        <f>IF(X171&lt;&gt;"",_xlfn.XLOOKUP(X171,tab_JA[Code],tab_JA[N_licence],"so"),"")</f>
        <v/>
      </c>
      <c r="X171" s="32"/>
      <c r="AA171" s="33" t="s">
        <v>2552</v>
      </c>
      <c r="AB171" s="33" t="s">
        <v>2552</v>
      </c>
      <c r="AC171" s="33" t="s">
        <v>2552</v>
      </c>
      <c r="AD171" s="34" t="str">
        <f>IF(X171&lt;&gt;"",SUMIF(Rencontres_N3_PN_Rx[Code_JA],X171,Rencontres_N3_PN_Rx[Frais_JA])-SUMIF(Rencontres_N3_PN_Rx[Code_JA],X171,Rencontres_N3_PN_Rx[frais defiscalisable]),"")</f>
        <v/>
      </c>
      <c r="AE171" s="121" t="str">
        <f>IF(X171&lt;&gt;"",SUMIF(Rencontres_N3_PN_Rx[Code_JA],X171,Rencontres_N3_PN_Rx[frais defiscalisable]),"")</f>
        <v/>
      </c>
    </row>
    <row r="172" spans="1:31" ht="15" customHeight="1" x14ac:dyDescent="0.25">
      <c r="A172" s="19" t="s">
        <v>3307</v>
      </c>
      <c r="B172" s="46" t="s">
        <v>1627</v>
      </c>
      <c r="C172" s="21" t="s">
        <v>1628</v>
      </c>
      <c r="D172" s="21" t="s">
        <v>1629</v>
      </c>
      <c r="E172" s="21" t="s">
        <v>1630</v>
      </c>
      <c r="F172" s="19">
        <v>61400</v>
      </c>
      <c r="G172" s="21" t="s">
        <v>1631</v>
      </c>
      <c r="H172" s="42" t="s">
        <v>1632</v>
      </c>
      <c r="I172" s="43" t="s">
        <v>1633</v>
      </c>
      <c r="J172" s="43" t="s">
        <v>1633</v>
      </c>
      <c r="K172" s="45" t="s">
        <v>433</v>
      </c>
      <c r="L172" s="21" t="s">
        <v>434</v>
      </c>
      <c r="M172" s="19">
        <f>_xlfn.XLOOKUP(tab_JA[[#This Row],[Code]],Rencontres_N3_PN_Rx[Code_JA],Rencontres_N3_PN_Rx[prest],0,0)</f>
        <v>0</v>
      </c>
      <c r="N172" s="19" t="s">
        <v>36</v>
      </c>
      <c r="O172" s="26"/>
      <c r="P172" s="27">
        <f>SUMIF(Rencontres_N3_PN_Rx[Code_JA],tab_JA[[#This Row],[Code]],Rencontres_N3_PN_Rx[Frais_JA])</f>
        <v>0</v>
      </c>
      <c r="W172" s="31" t="str">
        <f>IF(X172&lt;&gt;"",_xlfn.XLOOKUP(X172,tab_JA[Code],tab_JA[N_licence],"so"),"")</f>
        <v/>
      </c>
      <c r="X172" s="32"/>
      <c r="AA172" s="33" t="s">
        <v>2552</v>
      </c>
      <c r="AB172" s="33" t="s">
        <v>2552</v>
      </c>
      <c r="AC172" s="33" t="s">
        <v>2552</v>
      </c>
      <c r="AD172" s="34" t="str">
        <f>IF(X172&lt;&gt;"",SUMIF(Rencontres_N3_PN_Rx[Code_JA],X172,Rencontres_N3_PN_Rx[Frais_JA])-SUMIF(Rencontres_N3_PN_Rx[Code_JA],X172,Rencontres_N3_PN_Rx[frais defiscalisable]),"")</f>
        <v/>
      </c>
      <c r="AE172" s="121" t="str">
        <f>IF(X172&lt;&gt;"",SUMIF(Rencontres_N3_PN_Rx[Code_JA],X172,Rencontres_N3_PN_Rx[frais defiscalisable]),"")</f>
        <v/>
      </c>
    </row>
    <row r="173" spans="1:31" ht="15" customHeight="1" x14ac:dyDescent="0.25">
      <c r="A173" s="19" t="s">
        <v>1601</v>
      </c>
      <c r="B173" s="20" t="s">
        <v>1602</v>
      </c>
      <c r="C173" s="21" t="s">
        <v>1603</v>
      </c>
      <c r="D173" s="21" t="s">
        <v>1604</v>
      </c>
      <c r="E173" s="21" t="s">
        <v>1605</v>
      </c>
      <c r="F173" s="19">
        <v>14270</v>
      </c>
      <c r="G173" s="21" t="s">
        <v>1606</v>
      </c>
      <c r="H173" s="42" t="s">
        <v>1607</v>
      </c>
      <c r="I173" s="43" t="s">
        <v>1608</v>
      </c>
      <c r="J173" s="43" t="s">
        <v>1609</v>
      </c>
      <c r="K173" s="44" t="s">
        <v>1610</v>
      </c>
      <c r="L173" s="21" t="s">
        <v>1611</v>
      </c>
      <c r="M173" s="19">
        <f>_xlfn.XLOOKUP(tab_JA[[#This Row],[Code]],Rencontres_N3_PN_Rx[Code_JA],Rencontres_N3_PN_Rx[prest],0,0)</f>
        <v>0</v>
      </c>
      <c r="N173" s="19" t="s">
        <v>36</v>
      </c>
      <c r="O173" s="26"/>
      <c r="P173" s="27">
        <f>SUMIF(Rencontres_N3_PN_Rx[Code_JA],tab_JA[[#This Row],[Code]],Rencontres_N3_PN_Rx[Frais_JA])</f>
        <v>0</v>
      </c>
      <c r="W173" s="31" t="str">
        <f>IF(X173&lt;&gt;"",_xlfn.XLOOKUP(X173,tab_JA[Code],tab_JA[N_licence],"so"),"")</f>
        <v/>
      </c>
      <c r="X173" s="32"/>
      <c r="AA173" s="33" t="s">
        <v>2552</v>
      </c>
      <c r="AB173" s="33" t="s">
        <v>2552</v>
      </c>
      <c r="AC173" s="33" t="s">
        <v>2552</v>
      </c>
      <c r="AD173" s="34" t="str">
        <f>IF(X173&lt;&gt;"",SUMIF(Rencontres_N3_PN_Rx[Code_JA],X173,Rencontres_N3_PN_Rx[Frais_JA])-SUMIF(Rencontres_N3_PN_Rx[Code_JA],X173,Rencontres_N3_PN_Rx[frais defiscalisable]),"")</f>
        <v/>
      </c>
      <c r="AE173" s="121" t="str">
        <f>IF(X173&lt;&gt;"",SUMIF(Rencontres_N3_PN_Rx[Code_JA],X173,Rencontres_N3_PN_Rx[frais defiscalisable]),"")</f>
        <v/>
      </c>
    </row>
    <row r="174" spans="1:31" ht="15" customHeight="1" x14ac:dyDescent="0.25">
      <c r="A174" s="19" t="s">
        <v>1593</v>
      </c>
      <c r="B174" s="20" t="s">
        <v>1594</v>
      </c>
      <c r="C174" s="21" t="s">
        <v>1595</v>
      </c>
      <c r="D174" s="21" t="s">
        <v>1596</v>
      </c>
      <c r="E174" s="21" t="s">
        <v>1597</v>
      </c>
      <c r="F174" s="19">
        <v>76680</v>
      </c>
      <c r="G174" s="21" t="s">
        <v>1598</v>
      </c>
      <c r="H174" s="42" t="s">
        <v>1599</v>
      </c>
      <c r="I174" s="43"/>
      <c r="J174" s="43" t="s">
        <v>1600</v>
      </c>
      <c r="K174" s="44" t="s">
        <v>1252</v>
      </c>
      <c r="L174" s="21" t="s">
        <v>1253</v>
      </c>
      <c r="M174" s="19">
        <f>_xlfn.XLOOKUP(tab_JA[[#This Row],[Code]],Rencontres_N3_PN_Rx[Code_JA],Rencontres_N3_PN_Rx[prest],0,0)</f>
        <v>0</v>
      </c>
      <c r="N174" s="19" t="s">
        <v>36</v>
      </c>
      <c r="O174" s="26"/>
      <c r="P174" s="27">
        <f>SUMIF(Rencontres_N3_PN_Rx[Code_JA],tab_JA[[#This Row],[Code]],Rencontres_N3_PN_Rx[Frais_JA])</f>
        <v>0</v>
      </c>
      <c r="W174" s="31" t="str">
        <f>IF(X174&lt;&gt;"",_xlfn.XLOOKUP(X174,tab_JA[Code],tab_JA[N_licence],"so"),"")</f>
        <v/>
      </c>
      <c r="X174" s="32"/>
      <c r="AA174" s="33" t="s">
        <v>2552</v>
      </c>
      <c r="AB174" s="33" t="s">
        <v>2552</v>
      </c>
      <c r="AC174" s="33" t="s">
        <v>2552</v>
      </c>
      <c r="AD174" s="34" t="str">
        <f>IF(X174&lt;&gt;"",SUMIF(Rencontres_N3_PN_Rx[Code_JA],X174,Rencontres_N3_PN_Rx[Frais_JA])-SUMIF(Rencontres_N3_PN_Rx[Code_JA],X174,Rencontres_N3_PN_Rx[frais defiscalisable]),"")</f>
        <v/>
      </c>
      <c r="AE174" s="121" t="str">
        <f>IF(X174&lt;&gt;"",SUMIF(Rencontres_N3_PN_Rx[Code_JA],X174,Rencontres_N3_PN_Rx[frais defiscalisable]),"")</f>
        <v/>
      </c>
    </row>
    <row r="175" spans="1:31" ht="15" customHeight="1" x14ac:dyDescent="0.25">
      <c r="A175" s="19" t="s">
        <v>3315</v>
      </c>
      <c r="B175" s="46" t="s">
        <v>1723</v>
      </c>
      <c r="C175" s="21" t="s">
        <v>1724</v>
      </c>
      <c r="D175" s="21" t="s">
        <v>849</v>
      </c>
      <c r="E175" s="21" t="s">
        <v>1725</v>
      </c>
      <c r="F175" s="19">
        <v>50470</v>
      </c>
      <c r="G175" s="21" t="s">
        <v>1678</v>
      </c>
      <c r="H175" s="42" t="s">
        <v>1726</v>
      </c>
      <c r="I175" s="43" t="s">
        <v>1727</v>
      </c>
      <c r="J175" s="43"/>
      <c r="K175" s="45" t="s">
        <v>854</v>
      </c>
      <c r="L175" s="21" t="s">
        <v>855</v>
      </c>
      <c r="M175" s="19">
        <f>_xlfn.XLOOKUP(tab_JA[[#This Row],[Code]],Rencontres_N3_PN_Rx[Code_JA],Rencontres_N3_PN_Rx[prest],0,0)</f>
        <v>3</v>
      </c>
      <c r="N175" s="19" t="s">
        <v>36</v>
      </c>
      <c r="O175" s="26"/>
      <c r="P175" s="27">
        <f>SUMIF(Rencontres_N3_PN_Rx[Code_JA],tab_JA[[#This Row],[Code]],Rencontres_N3_PN_Rx[Frais_JA])</f>
        <v>113.69999999999999</v>
      </c>
      <c r="W175" s="31" t="str">
        <f>IF(X175&lt;&gt;"",_xlfn.XLOOKUP(X175,tab_JA[Code],tab_JA[N_licence],"so"),"")</f>
        <v/>
      </c>
      <c r="X175" s="32"/>
      <c r="AA175" s="33" t="s">
        <v>2552</v>
      </c>
      <c r="AB175" s="33" t="s">
        <v>2552</v>
      </c>
      <c r="AC175" s="33" t="s">
        <v>2552</v>
      </c>
      <c r="AD175" s="34" t="str">
        <f>IF(X175&lt;&gt;"",SUMIF(Rencontres_N3_PN_Rx[Code_JA],X175,Rencontres_N3_PN_Rx[Frais_JA])-SUMIF(Rencontres_N3_PN_Rx[Code_JA],X175,Rencontres_N3_PN_Rx[frais defiscalisable]),"")</f>
        <v/>
      </c>
      <c r="AE175" s="121" t="str">
        <f>IF(X175&lt;&gt;"",SUMIF(Rencontres_N3_PN_Rx[Code_JA],X175,Rencontres_N3_PN_Rx[frais defiscalisable]),"")</f>
        <v/>
      </c>
    </row>
    <row r="176" spans="1:31" ht="15" customHeight="1" x14ac:dyDescent="0.25">
      <c r="A176" s="19" t="s">
        <v>3308</v>
      </c>
      <c r="B176" s="20" t="s">
        <v>1634</v>
      </c>
      <c r="C176" s="21" t="s">
        <v>1635</v>
      </c>
      <c r="D176" s="21" t="s">
        <v>1636</v>
      </c>
      <c r="E176" s="21" t="s">
        <v>1637</v>
      </c>
      <c r="F176" s="19">
        <v>50560</v>
      </c>
      <c r="G176" s="21" t="s">
        <v>1638</v>
      </c>
      <c r="H176" s="42" t="s">
        <v>1639</v>
      </c>
      <c r="I176" s="43" t="s">
        <v>1640</v>
      </c>
      <c r="J176" s="43" t="s">
        <v>1641</v>
      </c>
      <c r="K176" s="44" t="s">
        <v>1642</v>
      </c>
      <c r="L176" s="21" t="s">
        <v>1643</v>
      </c>
      <c r="M176" s="19">
        <f>_xlfn.XLOOKUP(tab_JA[[#This Row],[Code]],Rencontres_N3_PN_Rx[Code_JA],Rencontres_N3_PN_Rx[prest],0,0)</f>
        <v>1</v>
      </c>
      <c r="N176" s="19" t="s">
        <v>36</v>
      </c>
      <c r="O176" s="26"/>
      <c r="P176" s="27">
        <f>SUMIF(Rencontres_N3_PN_Rx[Code_JA],tab_JA[[#This Row],[Code]],Rencontres_N3_PN_Rx[Frais_JA])</f>
        <v>34</v>
      </c>
      <c r="W176" s="31" t="str">
        <f>IF(X176&lt;&gt;"",_xlfn.XLOOKUP(X176,tab_JA[Code],tab_JA[N_licence],"so"),"")</f>
        <v/>
      </c>
      <c r="X176" s="32"/>
      <c r="AA176" s="33" t="s">
        <v>2552</v>
      </c>
      <c r="AB176" s="33" t="s">
        <v>2552</v>
      </c>
      <c r="AC176" s="33" t="s">
        <v>2552</v>
      </c>
      <c r="AD176" s="34" t="str">
        <f>IF(X176&lt;&gt;"",SUMIF(Rencontres_N3_PN_Rx[Code_JA],X176,Rencontres_N3_PN_Rx[Frais_JA])-SUMIF(Rencontres_N3_PN_Rx[Code_JA],X176,Rencontres_N3_PN_Rx[frais defiscalisable]),"")</f>
        <v/>
      </c>
      <c r="AE176" s="121" t="str">
        <f>IF(X176&lt;&gt;"",SUMIF(Rencontres_N3_PN_Rx[Code_JA],X176,Rencontres_N3_PN_Rx[frais defiscalisable]),"")</f>
        <v/>
      </c>
    </row>
    <row r="177" spans="1:31" ht="15" customHeight="1" x14ac:dyDescent="0.25">
      <c r="A177" s="19" t="s">
        <v>3302</v>
      </c>
      <c r="B177" s="20" t="s">
        <v>1516</v>
      </c>
      <c r="C177" s="21" t="s">
        <v>1517</v>
      </c>
      <c r="D177" s="21" t="s">
        <v>1267</v>
      </c>
      <c r="E177" s="21" t="s">
        <v>1518</v>
      </c>
      <c r="F177" s="19">
        <v>14470</v>
      </c>
      <c r="G177" s="21" t="s">
        <v>1519</v>
      </c>
      <c r="H177" s="42" t="s">
        <v>1520</v>
      </c>
      <c r="I177" s="43"/>
      <c r="J177" s="43" t="s">
        <v>1521</v>
      </c>
      <c r="K177" s="44" t="s">
        <v>1522</v>
      </c>
      <c r="L177" s="21" t="s">
        <v>1523</v>
      </c>
      <c r="M177" s="19">
        <f>_xlfn.XLOOKUP(tab_JA[[#This Row],[Code]],Rencontres_N3_PN_Rx[Code_JA],Rencontres_N3_PN_Rx[prest],0,0)</f>
        <v>0</v>
      </c>
      <c r="N177" s="19" t="s">
        <v>36</v>
      </c>
      <c r="O177" s="26"/>
      <c r="P177" s="27">
        <f>SUMIF(Rencontres_N3_PN_Rx[Code_JA],tab_JA[[#This Row],[Code]],Rencontres_N3_PN_Rx[Frais_JA])</f>
        <v>0</v>
      </c>
      <c r="W177" s="31" t="str">
        <f>IF(X177&lt;&gt;"",_xlfn.XLOOKUP(X177,tab_JA[Code],tab_JA[N_licence],"so"),"")</f>
        <v/>
      </c>
      <c r="X177" s="32"/>
      <c r="AA177" s="33" t="s">
        <v>2552</v>
      </c>
      <c r="AB177" s="33" t="s">
        <v>2552</v>
      </c>
      <c r="AC177" s="33" t="s">
        <v>2552</v>
      </c>
      <c r="AD177" s="34" t="str">
        <f>IF(X177&lt;&gt;"",SUMIF(Rencontres_N3_PN_Rx[Code_JA],X177,Rencontres_N3_PN_Rx[Frais_JA])-SUMIF(Rencontres_N3_PN_Rx[Code_JA],X177,Rencontres_N3_PN_Rx[frais defiscalisable]),"")</f>
        <v/>
      </c>
      <c r="AE177" s="121" t="str">
        <f>IF(X177&lt;&gt;"",SUMIF(Rencontres_N3_PN_Rx[Code_JA],X177,Rencontres_N3_PN_Rx[frais defiscalisable]),"")</f>
        <v/>
      </c>
    </row>
    <row r="178" spans="1:31" ht="15" customHeight="1" x14ac:dyDescent="0.25">
      <c r="A178" s="19" t="s">
        <v>3305</v>
      </c>
      <c r="B178" s="46" t="s">
        <v>1612</v>
      </c>
      <c r="C178" s="21" t="s">
        <v>1603</v>
      </c>
      <c r="D178" s="21" t="s">
        <v>1267</v>
      </c>
      <c r="E178" s="31" t="s">
        <v>1613</v>
      </c>
      <c r="F178" s="19">
        <v>76660</v>
      </c>
      <c r="G178" s="21" t="s">
        <v>1614</v>
      </c>
      <c r="H178" s="42" t="s">
        <v>1615</v>
      </c>
      <c r="I178" s="43"/>
      <c r="J178" s="43" t="s">
        <v>1616</v>
      </c>
      <c r="K178" s="45" t="s">
        <v>1617</v>
      </c>
      <c r="L178" s="21" t="s">
        <v>1618</v>
      </c>
      <c r="M178" s="19">
        <f>_xlfn.XLOOKUP(tab_JA[[#This Row],[Code]],Rencontres_N3_PN_Rx[Code_JA],Rencontres_N3_PN_Rx[prest],0,0)</f>
        <v>0</v>
      </c>
      <c r="N178" s="19" t="s">
        <v>36</v>
      </c>
      <c r="O178" s="26"/>
      <c r="P178" s="27">
        <f>SUMIF(Rencontres_N3_PN_Rx[Code_JA],tab_JA[[#This Row],[Code]],Rencontres_N3_PN_Rx[Frais_JA])</f>
        <v>0</v>
      </c>
      <c r="W178" s="31" t="str">
        <f>IF(X178&lt;&gt;"",_xlfn.XLOOKUP(X178,tab_JA[Code],tab_JA[N_licence],"so"),"")</f>
        <v/>
      </c>
      <c r="X178" s="32"/>
      <c r="AA178" s="33" t="s">
        <v>2552</v>
      </c>
      <c r="AB178" s="33" t="s">
        <v>2552</v>
      </c>
      <c r="AC178" s="33" t="s">
        <v>2552</v>
      </c>
      <c r="AD178" s="34" t="str">
        <f>IF(X178&lt;&gt;"",SUMIF(Rencontres_N3_PN_Rx[Code_JA],X178,Rencontres_N3_PN_Rx[Frais_JA])-SUMIF(Rencontres_N3_PN_Rx[Code_JA],X178,Rencontres_N3_PN_Rx[frais defiscalisable]),"")</f>
        <v/>
      </c>
      <c r="AE178" s="121" t="str">
        <f>IF(X178&lt;&gt;"",SUMIF(Rencontres_N3_PN_Rx[Code_JA],X178,Rencontres_N3_PN_Rx[frais defiscalisable]),"")</f>
        <v/>
      </c>
    </row>
    <row r="179" spans="1:31" ht="15" customHeight="1" x14ac:dyDescent="0.25">
      <c r="A179" s="19" t="s">
        <v>1797</v>
      </c>
      <c r="B179" s="20" t="s">
        <v>1798</v>
      </c>
      <c r="C179" s="21" t="s">
        <v>1799</v>
      </c>
      <c r="D179" s="21" t="s">
        <v>677</v>
      </c>
      <c r="E179" s="21" t="s">
        <v>1800</v>
      </c>
      <c r="F179" s="19">
        <v>14320</v>
      </c>
      <c r="G179" s="21" t="s">
        <v>938</v>
      </c>
      <c r="H179" s="47" t="s">
        <v>1801</v>
      </c>
      <c r="I179" s="48"/>
      <c r="J179" s="43" t="s">
        <v>1802</v>
      </c>
      <c r="K179" s="44" t="s">
        <v>942</v>
      </c>
      <c r="L179" s="21" t="s">
        <v>943</v>
      </c>
      <c r="M179" s="19">
        <f>_xlfn.XLOOKUP(tab_JA[[#This Row],[Code]],Rencontres_N3_PN_Rx[Code_JA],Rencontres_N3_PN_Rx[prest],0,0)</f>
        <v>0</v>
      </c>
      <c r="N179" s="19" t="s">
        <v>36</v>
      </c>
      <c r="O179" s="26"/>
      <c r="P179" s="27">
        <f>SUMIF(Rencontres_N3_PN_Rx[Code_JA],tab_JA[[#This Row],[Code]],Rencontres_N3_PN_Rx[Frais_JA])</f>
        <v>0</v>
      </c>
      <c r="W179" s="31" t="str">
        <f>IF(X179&lt;&gt;"",_xlfn.XLOOKUP(X179,tab_JA[Code],tab_JA[N_licence],"so"),"")</f>
        <v/>
      </c>
      <c r="X179" s="32"/>
      <c r="AA179" s="33" t="s">
        <v>2552</v>
      </c>
      <c r="AB179" s="33" t="s">
        <v>2552</v>
      </c>
      <c r="AC179" s="33" t="s">
        <v>2552</v>
      </c>
      <c r="AD179" s="34" t="str">
        <f>IF(X179&lt;&gt;"",SUMIF(Rencontres_N3_PN_Rx[Code_JA],X179,Rencontres_N3_PN_Rx[Frais_JA])-SUMIF(Rencontres_N3_PN_Rx[Code_JA],X179,Rencontres_N3_PN_Rx[frais defiscalisable]),"")</f>
        <v/>
      </c>
      <c r="AE179" s="121" t="str">
        <f>IF(X179&lt;&gt;"",SUMIF(Rencontres_N3_PN_Rx[Code_JA],X179,Rencontres_N3_PN_Rx[frais defiscalisable]),"")</f>
        <v/>
      </c>
    </row>
    <row r="180" spans="1:31" ht="15" customHeight="1" x14ac:dyDescent="0.25">
      <c r="A180" s="19" t="s">
        <v>1540</v>
      </c>
      <c r="B180" s="20" t="s">
        <v>1541</v>
      </c>
      <c r="C180" s="21" t="s">
        <v>1542</v>
      </c>
      <c r="D180" s="21" t="s">
        <v>463</v>
      </c>
      <c r="E180" s="21" t="s">
        <v>1543</v>
      </c>
      <c r="F180" s="19">
        <v>50180</v>
      </c>
      <c r="G180" s="21" t="s">
        <v>1292</v>
      </c>
      <c r="H180" s="42" t="s">
        <v>1544</v>
      </c>
      <c r="I180" s="43"/>
      <c r="J180" s="43" t="s">
        <v>1545</v>
      </c>
      <c r="K180" s="44" t="s">
        <v>1179</v>
      </c>
      <c r="L180" s="21" t="s">
        <v>1180</v>
      </c>
      <c r="M180" s="19">
        <f>_xlfn.XLOOKUP(tab_JA[[#This Row],[Code]],Rencontres_N3_PN_Rx[Code_JA],Rencontres_N3_PN_Rx[prest],0,0)</f>
        <v>0</v>
      </c>
      <c r="N180" s="19" t="s">
        <v>36</v>
      </c>
      <c r="O180" s="26"/>
      <c r="P180" s="27">
        <f>SUMIF(Rencontres_N3_PN_Rx[Code_JA],tab_JA[[#This Row],[Code]],Rencontres_N3_PN_Rx[Frais_JA])</f>
        <v>0</v>
      </c>
      <c r="W180" s="31" t="str">
        <f>IF(X180&lt;&gt;"",_xlfn.XLOOKUP(X180,tab_JA[Code],tab_JA[N_licence],"so"),"")</f>
        <v/>
      </c>
      <c r="X180" s="32"/>
      <c r="AA180" s="33" t="s">
        <v>2552</v>
      </c>
      <c r="AB180" s="33" t="s">
        <v>2552</v>
      </c>
      <c r="AC180" s="33" t="s">
        <v>2552</v>
      </c>
      <c r="AD180" s="34" t="str">
        <f>IF(X180&lt;&gt;"",SUMIF(Rencontres_N3_PN_Rx[Code_JA],X180,Rencontres_N3_PN_Rx[Frais_JA])-SUMIF(Rencontres_N3_PN_Rx[Code_JA],X180,Rencontres_N3_PN_Rx[frais defiscalisable]),"")</f>
        <v/>
      </c>
      <c r="AE180" s="121" t="str">
        <f>IF(X180&lt;&gt;"",SUMIF(Rencontres_N3_PN_Rx[Code_JA],X180,Rencontres_N3_PN_Rx[frais defiscalisable]),"")</f>
        <v/>
      </c>
    </row>
    <row r="181" spans="1:31" ht="15" customHeight="1" x14ac:dyDescent="0.25">
      <c r="A181" s="19" t="s">
        <v>1649</v>
      </c>
      <c r="B181" s="20" t="s">
        <v>1650</v>
      </c>
      <c r="C181" s="21" t="s">
        <v>1645</v>
      </c>
      <c r="D181" s="21" t="s">
        <v>1651</v>
      </c>
      <c r="E181" s="21" t="s">
        <v>1652</v>
      </c>
      <c r="F181" s="19">
        <v>27310</v>
      </c>
      <c r="G181" s="21" t="s">
        <v>593</v>
      </c>
      <c r="H181" s="42" t="s">
        <v>1653</v>
      </c>
      <c r="I181" s="43" t="s">
        <v>1654</v>
      </c>
      <c r="J181" s="43" t="s">
        <v>1655</v>
      </c>
      <c r="K181" s="44" t="s">
        <v>717</v>
      </c>
      <c r="L181" s="21" t="s">
        <v>718</v>
      </c>
      <c r="M181" s="19">
        <f>_xlfn.XLOOKUP(tab_JA[[#This Row],[Code]],Rencontres_N3_PN_Rx[Code_JA],Rencontres_N3_PN_Rx[prest],0,0)</f>
        <v>0</v>
      </c>
      <c r="N181" s="19" t="s">
        <v>36</v>
      </c>
      <c r="O181" s="26"/>
      <c r="P181" s="27">
        <f>SUMIF(Rencontres_N3_PN_Rx[Code_JA],tab_JA[[#This Row],[Code]],Rencontres_N3_PN_Rx[Frais_JA])</f>
        <v>0</v>
      </c>
      <c r="W181" s="31" t="str">
        <f>IF(X181&lt;&gt;"",_xlfn.XLOOKUP(X181,tab_JA[Code],tab_JA[N_licence],"so"),"")</f>
        <v/>
      </c>
      <c r="X181" s="32"/>
      <c r="AA181" s="33" t="s">
        <v>2552</v>
      </c>
      <c r="AB181" s="33" t="s">
        <v>2552</v>
      </c>
      <c r="AC181" s="33" t="s">
        <v>2552</v>
      </c>
      <c r="AD181" s="34" t="str">
        <f>IF(X181&lt;&gt;"",SUMIF(Rencontres_N3_PN_Rx[Code_JA],X181,Rencontres_N3_PN_Rx[Frais_JA])-SUMIF(Rencontres_N3_PN_Rx[Code_JA],X181,Rencontres_N3_PN_Rx[frais defiscalisable]),"")</f>
        <v/>
      </c>
      <c r="AE181" s="121" t="str">
        <f>IF(X181&lt;&gt;"",SUMIF(Rencontres_N3_PN_Rx[Code_JA],X181,Rencontres_N3_PN_Rx[frais defiscalisable]),"")</f>
        <v/>
      </c>
    </row>
    <row r="182" spans="1:31" ht="15" customHeight="1" x14ac:dyDescent="0.25">
      <c r="A182" s="19" t="s">
        <v>1767</v>
      </c>
      <c r="B182" s="20" t="s">
        <v>1768</v>
      </c>
      <c r="C182" s="21" t="s">
        <v>1769</v>
      </c>
      <c r="D182" s="21" t="s">
        <v>1770</v>
      </c>
      <c r="E182" s="21" t="s">
        <v>1771</v>
      </c>
      <c r="F182" s="19">
        <v>61400</v>
      </c>
      <c r="G182" s="21" t="s">
        <v>1772</v>
      </c>
      <c r="H182" s="42" t="s">
        <v>1773</v>
      </c>
      <c r="I182" s="43"/>
      <c r="J182" s="43" t="s">
        <v>1774</v>
      </c>
      <c r="K182" s="44" t="s">
        <v>433</v>
      </c>
      <c r="L182" s="21" t="s">
        <v>434</v>
      </c>
      <c r="M182" s="19">
        <f>_xlfn.XLOOKUP(tab_JA[[#This Row],[Code]],Rencontres_N3_PN_Rx[Code_JA],Rencontres_N3_PN_Rx[prest],0,0)</f>
        <v>0</v>
      </c>
      <c r="N182" s="19" t="s">
        <v>36</v>
      </c>
      <c r="O182" s="26"/>
      <c r="P182" s="27">
        <f>SUMIF(Rencontres_N3_PN_Rx[Code_JA],tab_JA[[#This Row],[Code]],Rencontres_N3_PN_Rx[Frais_JA])</f>
        <v>0</v>
      </c>
      <c r="W182" s="31" t="str">
        <f>IF(X182&lt;&gt;"",_xlfn.XLOOKUP(X182,tab_JA[Code],tab_JA[N_licence],"so"),"")</f>
        <v/>
      </c>
      <c r="X182" s="32"/>
      <c r="AA182" s="33" t="s">
        <v>2552</v>
      </c>
      <c r="AB182" s="33" t="s">
        <v>2552</v>
      </c>
      <c r="AC182" s="33" t="s">
        <v>2552</v>
      </c>
      <c r="AD182" s="34" t="str">
        <f>IF(X182&lt;&gt;"",SUMIF(Rencontres_N3_PN_Rx[Code_JA],X182,Rencontres_N3_PN_Rx[Frais_JA])-SUMIF(Rencontres_N3_PN_Rx[Code_JA],X182,Rencontres_N3_PN_Rx[frais defiscalisable]),"")</f>
        <v/>
      </c>
      <c r="AE182" s="121" t="str">
        <f>IF(X182&lt;&gt;"",SUMIF(Rencontres_N3_PN_Rx[Code_JA],X182,Rencontres_N3_PN_Rx[frais defiscalisable]),"")</f>
        <v/>
      </c>
    </row>
    <row r="183" spans="1:31" ht="15" customHeight="1" x14ac:dyDescent="0.25">
      <c r="A183" s="19" t="s">
        <v>1470</v>
      </c>
      <c r="B183" s="20" t="s">
        <v>1471</v>
      </c>
      <c r="C183" s="21" t="s">
        <v>1472</v>
      </c>
      <c r="D183" s="21" t="s">
        <v>1473</v>
      </c>
      <c r="E183" s="21" t="s">
        <v>1474</v>
      </c>
      <c r="F183" s="19">
        <v>50240</v>
      </c>
      <c r="G183" s="21" t="s">
        <v>474</v>
      </c>
      <c r="H183" s="42" t="s">
        <v>1475</v>
      </c>
      <c r="I183" s="43" t="s">
        <v>1476</v>
      </c>
      <c r="J183" s="43" t="s">
        <v>1477</v>
      </c>
      <c r="K183" s="44" t="s">
        <v>478</v>
      </c>
      <c r="L183" s="21" t="s">
        <v>479</v>
      </c>
      <c r="M183" s="19">
        <f>_xlfn.XLOOKUP(tab_JA[[#This Row],[Code]],Rencontres_N3_PN_Rx[Code_JA],Rencontres_N3_PN_Rx[prest],0,0)</f>
        <v>0</v>
      </c>
      <c r="N183" s="19" t="s">
        <v>36</v>
      </c>
      <c r="O183" s="26"/>
      <c r="P183" s="27">
        <f>SUMIF(Rencontres_N3_PN_Rx[Code_JA],tab_JA[[#This Row],[Code]],Rencontres_N3_PN_Rx[Frais_JA])</f>
        <v>0</v>
      </c>
      <c r="W183" s="31" t="str">
        <f>IF(X183&lt;&gt;"",_xlfn.XLOOKUP(X183,tab_JA[Code],tab_JA[N_licence],"so"),"")</f>
        <v/>
      </c>
      <c r="X183" s="32"/>
      <c r="AA183" s="33" t="s">
        <v>2552</v>
      </c>
      <c r="AB183" s="33" t="s">
        <v>2552</v>
      </c>
      <c r="AC183" s="33" t="s">
        <v>2552</v>
      </c>
      <c r="AD183" s="34" t="str">
        <f>IF(X183&lt;&gt;"",SUMIF(Rencontres_N3_PN_Rx[Code_JA],X183,Rencontres_N3_PN_Rx[Frais_JA])-SUMIF(Rencontres_N3_PN_Rx[Code_JA],X183,Rencontres_N3_PN_Rx[frais defiscalisable]),"")</f>
        <v/>
      </c>
      <c r="AE183" s="121" t="str">
        <f>IF(X183&lt;&gt;"",SUMIF(Rencontres_N3_PN_Rx[Code_JA],X183,Rencontres_N3_PN_Rx[frais defiscalisable]),"")</f>
        <v/>
      </c>
    </row>
    <row r="184" spans="1:31" ht="15" customHeight="1" x14ac:dyDescent="0.25">
      <c r="A184" s="19" t="s">
        <v>3311</v>
      </c>
      <c r="B184" s="20" t="s">
        <v>1662</v>
      </c>
      <c r="C184" s="21" t="s">
        <v>1663</v>
      </c>
      <c r="D184" s="21" t="s">
        <v>1473</v>
      </c>
      <c r="E184" s="21" t="s">
        <v>1664</v>
      </c>
      <c r="F184" s="19">
        <v>76450</v>
      </c>
      <c r="G184" s="21" t="s">
        <v>1665</v>
      </c>
      <c r="H184" s="42" t="s">
        <v>1666</v>
      </c>
      <c r="I184" s="43"/>
      <c r="J184" s="43" t="s">
        <v>1667</v>
      </c>
      <c r="K184" s="44" t="s">
        <v>423</v>
      </c>
      <c r="L184" s="21" t="s">
        <v>424</v>
      </c>
      <c r="M184" s="19">
        <f>_xlfn.XLOOKUP(tab_JA[[#This Row],[Code]],Rencontres_N3_PN_Rx[Code_JA],Rencontres_N3_PN_Rx[prest],0,0)</f>
        <v>0</v>
      </c>
      <c r="N184" s="19" t="s">
        <v>36</v>
      </c>
      <c r="O184" s="26"/>
      <c r="P184" s="27">
        <f>SUMIF(Rencontres_N3_PN_Rx[Code_JA],tab_JA[[#This Row],[Code]],Rencontres_N3_PN_Rx[Frais_JA])</f>
        <v>0</v>
      </c>
      <c r="W184" s="31" t="str">
        <f>IF(X184&lt;&gt;"",_xlfn.XLOOKUP(X184,tab_JA[Code],tab_JA[N_licence],"so"),"")</f>
        <v/>
      </c>
      <c r="X184" s="32"/>
      <c r="AA184" s="33" t="s">
        <v>2552</v>
      </c>
      <c r="AB184" s="33" t="s">
        <v>2552</v>
      </c>
      <c r="AC184" s="33" t="s">
        <v>2552</v>
      </c>
      <c r="AD184" s="34" t="str">
        <f>IF(X184&lt;&gt;"",SUMIF(Rencontres_N3_PN_Rx[Code_JA],X184,Rencontres_N3_PN_Rx[Frais_JA])-SUMIF(Rencontres_N3_PN_Rx[Code_JA],X184,Rencontres_N3_PN_Rx[frais defiscalisable]),"")</f>
        <v/>
      </c>
      <c r="AE184" s="121" t="str">
        <f>IF(X184&lt;&gt;"",SUMIF(Rencontres_N3_PN_Rx[Code_JA],X184,Rencontres_N3_PN_Rx[frais defiscalisable]),"")</f>
        <v/>
      </c>
    </row>
    <row r="185" spans="1:31" ht="15" customHeight="1" x14ac:dyDescent="0.25">
      <c r="A185" s="19" t="s">
        <v>1546</v>
      </c>
      <c r="B185" s="46" t="s">
        <v>1547</v>
      </c>
      <c r="C185" s="21" t="s">
        <v>1542</v>
      </c>
      <c r="D185" s="21" t="s">
        <v>1548</v>
      </c>
      <c r="E185" s="21" t="s">
        <v>1549</v>
      </c>
      <c r="F185" s="19">
        <v>76800</v>
      </c>
      <c r="G185" s="21" t="s">
        <v>195</v>
      </c>
      <c r="H185" s="42" t="s">
        <v>1550</v>
      </c>
      <c r="I185" s="43" t="s">
        <v>1551</v>
      </c>
      <c r="J185" s="43" t="s">
        <v>1552</v>
      </c>
      <c r="K185" s="45" t="s">
        <v>557</v>
      </c>
      <c r="L185" s="21" t="s">
        <v>558</v>
      </c>
      <c r="M185" s="19">
        <f>_xlfn.XLOOKUP(tab_JA[[#This Row],[Code]],Rencontres_N3_PN_Rx[Code_JA],Rencontres_N3_PN_Rx[prest],0,0)</f>
        <v>0</v>
      </c>
      <c r="N185" s="19" t="s">
        <v>36</v>
      </c>
      <c r="O185" s="26"/>
      <c r="P185" s="27">
        <f>SUMIF(Rencontres_N3_PN_Rx[Code_JA],tab_JA[[#This Row],[Code]],Rencontres_N3_PN_Rx[Frais_JA])</f>
        <v>0</v>
      </c>
      <c r="W185" s="31" t="str">
        <f>IF(X185&lt;&gt;"",_xlfn.XLOOKUP(X185,tab_JA[Code],tab_JA[N_licence],"so"),"")</f>
        <v/>
      </c>
      <c r="X185" s="32"/>
      <c r="AA185" s="33" t="s">
        <v>2552</v>
      </c>
      <c r="AB185" s="33" t="s">
        <v>2552</v>
      </c>
      <c r="AC185" s="33" t="s">
        <v>2552</v>
      </c>
      <c r="AD185" s="34" t="str">
        <f>IF(X185&lt;&gt;"",SUMIF(Rencontres_N3_PN_Rx[Code_JA],X185,Rencontres_N3_PN_Rx[Frais_JA])-SUMIF(Rencontres_N3_PN_Rx[Code_JA],X185,Rencontres_N3_PN_Rx[frais defiscalisable]),"")</f>
        <v/>
      </c>
      <c r="AE185" s="121" t="str">
        <f>IF(X185&lt;&gt;"",SUMIF(Rencontres_N3_PN_Rx[Code_JA],X185,Rencontres_N3_PN_Rx[frais defiscalisable]),"")</f>
        <v/>
      </c>
    </row>
    <row r="186" spans="1:31" ht="15" customHeight="1" x14ac:dyDescent="0.25">
      <c r="A186" s="19" t="s">
        <v>1478</v>
      </c>
      <c r="B186" s="20" t="s">
        <v>1479</v>
      </c>
      <c r="C186" s="21" t="s">
        <v>1480</v>
      </c>
      <c r="D186" s="21" t="s">
        <v>1481</v>
      </c>
      <c r="E186" s="21" t="s">
        <v>1482</v>
      </c>
      <c r="F186" s="19">
        <v>76150</v>
      </c>
      <c r="G186" s="21" t="s">
        <v>792</v>
      </c>
      <c r="H186" s="42" t="s">
        <v>1483</v>
      </c>
      <c r="I186" s="43" t="s">
        <v>1484</v>
      </c>
      <c r="J186" s="43" t="s">
        <v>1485</v>
      </c>
      <c r="K186" s="44" t="s">
        <v>88</v>
      </c>
      <c r="L186" s="21" t="s">
        <v>89</v>
      </c>
      <c r="M186" s="19">
        <f>_xlfn.XLOOKUP(tab_JA[[#This Row],[Code]],Rencontres_N3_PN_Rx[Code_JA],Rencontres_N3_PN_Rx[prest],0,0)</f>
        <v>0</v>
      </c>
      <c r="N186" s="19" t="s">
        <v>36</v>
      </c>
      <c r="O186" s="26"/>
      <c r="P186" s="27">
        <f>SUMIF(Rencontres_N3_PN_Rx[Code_JA],tab_JA[[#This Row],[Code]],Rencontres_N3_PN_Rx[Frais_JA])</f>
        <v>0</v>
      </c>
      <c r="W186" s="31" t="str">
        <f>IF(X186&lt;&gt;"",_xlfn.XLOOKUP(X186,tab_JA[Code],tab_JA[N_licence],"so"),"")</f>
        <v/>
      </c>
      <c r="X186" s="32"/>
      <c r="AA186" s="33" t="s">
        <v>2552</v>
      </c>
      <c r="AB186" s="33" t="s">
        <v>2552</v>
      </c>
      <c r="AC186" s="33" t="s">
        <v>2552</v>
      </c>
      <c r="AD186" s="34" t="str">
        <f>IF(X186&lt;&gt;"",SUMIF(Rencontres_N3_PN_Rx[Code_JA],X186,Rencontres_N3_PN_Rx[Frais_JA])-SUMIF(Rencontres_N3_PN_Rx[Code_JA],X186,Rencontres_N3_PN_Rx[frais defiscalisable]),"")</f>
        <v/>
      </c>
      <c r="AE186" s="121" t="str">
        <f>IF(X186&lt;&gt;"",SUMIF(Rencontres_N3_PN_Rx[Code_JA],X186,Rencontres_N3_PN_Rx[frais defiscalisable]),"")</f>
        <v/>
      </c>
    </row>
    <row r="187" spans="1:31" ht="15" customHeight="1" x14ac:dyDescent="0.25">
      <c r="A187" s="19" t="s">
        <v>3314</v>
      </c>
      <c r="B187" s="20" t="s">
        <v>1716</v>
      </c>
      <c r="C187" s="21" t="s">
        <v>1717</v>
      </c>
      <c r="D187" s="21" t="s">
        <v>1718</v>
      </c>
      <c r="E187" s="21" t="s">
        <v>1719</v>
      </c>
      <c r="F187" s="19">
        <v>14550</v>
      </c>
      <c r="G187" s="21" t="s">
        <v>1720</v>
      </c>
      <c r="H187" s="42" t="s">
        <v>1721</v>
      </c>
      <c r="I187" s="43"/>
      <c r="J187" s="43" t="s">
        <v>1722</v>
      </c>
      <c r="K187" s="44" t="s">
        <v>1316</v>
      </c>
      <c r="L187" s="21" t="s">
        <v>1317</v>
      </c>
      <c r="M187" s="19">
        <f>_xlfn.XLOOKUP(tab_JA[[#This Row],[Code]],Rencontres_N3_PN_Rx[Code_JA],Rencontres_N3_PN_Rx[prest],0,0)</f>
        <v>0</v>
      </c>
      <c r="N187" s="19" t="s">
        <v>36</v>
      </c>
      <c r="O187" s="26"/>
      <c r="P187" s="27">
        <f>SUMIF(Rencontres_N3_PN_Rx[Code_JA],tab_JA[[#This Row],[Code]],Rencontres_N3_PN_Rx[Frais_JA])</f>
        <v>0</v>
      </c>
      <c r="W187" s="31" t="str">
        <f>IF(X187&lt;&gt;"",_xlfn.XLOOKUP(X187,tab_JA[Code],tab_JA[N_licence],"so"),"")</f>
        <v/>
      </c>
      <c r="X187" s="32"/>
      <c r="AA187" s="33" t="s">
        <v>2552</v>
      </c>
      <c r="AB187" s="33" t="s">
        <v>2552</v>
      </c>
      <c r="AC187" s="33" t="s">
        <v>2552</v>
      </c>
      <c r="AD187" s="34" t="str">
        <f>IF(X187&lt;&gt;"",SUMIF(Rencontres_N3_PN_Rx[Code_JA],X187,Rencontres_N3_PN_Rx[Frais_JA])-SUMIF(Rencontres_N3_PN_Rx[Code_JA],X187,Rencontres_N3_PN_Rx[frais defiscalisable]),"")</f>
        <v/>
      </c>
      <c r="AE187" s="121" t="str">
        <f>IF(X187&lt;&gt;"",SUMIF(Rencontres_N3_PN_Rx[Code_JA],X187,Rencontres_N3_PN_Rx[frais defiscalisable]),"")</f>
        <v/>
      </c>
    </row>
    <row r="188" spans="1:31" ht="15" customHeight="1" x14ac:dyDescent="0.25">
      <c r="A188" s="19" t="s">
        <v>1775</v>
      </c>
      <c r="B188" s="20" t="s">
        <v>1776</v>
      </c>
      <c r="C188" s="21" t="s">
        <v>1777</v>
      </c>
      <c r="D188" s="21" t="s">
        <v>1778</v>
      </c>
      <c r="E188" s="21" t="s">
        <v>1779</v>
      </c>
      <c r="F188" s="19">
        <v>76210</v>
      </c>
      <c r="G188" s="21" t="s">
        <v>1780</v>
      </c>
      <c r="H188" s="42" t="s">
        <v>1781</v>
      </c>
      <c r="I188" s="43" t="s">
        <v>1782</v>
      </c>
      <c r="J188" s="43" t="s">
        <v>1783</v>
      </c>
      <c r="K188" s="44" t="s">
        <v>1784</v>
      </c>
      <c r="L188" s="21" t="s">
        <v>1785</v>
      </c>
      <c r="M188" s="19">
        <f>_xlfn.XLOOKUP(tab_JA[[#This Row],[Code]],Rencontres_N3_PN_Rx[Code_JA],Rencontres_N3_PN_Rx[prest],0,0)</f>
        <v>0</v>
      </c>
      <c r="N188" s="19" t="s">
        <v>36</v>
      </c>
      <c r="O188" s="26"/>
      <c r="P188" s="27">
        <f>SUMIF(Rencontres_N3_PN_Rx[Code_JA],tab_JA[[#This Row],[Code]],Rencontres_N3_PN_Rx[Frais_JA])</f>
        <v>0</v>
      </c>
      <c r="W188" s="31" t="str">
        <f>IF(X188&lt;&gt;"",_xlfn.XLOOKUP(X188,tab_JA[Code],tab_JA[N_licence],"so"),"")</f>
        <v/>
      </c>
      <c r="X188" s="32"/>
      <c r="AA188" s="33" t="s">
        <v>2552</v>
      </c>
      <c r="AB188" s="33" t="s">
        <v>2552</v>
      </c>
      <c r="AC188" s="33" t="s">
        <v>2552</v>
      </c>
      <c r="AD188" s="34" t="str">
        <f>IF(X188&lt;&gt;"",SUMIF(Rencontres_N3_PN_Rx[Code_JA],X188,Rencontres_N3_PN_Rx[Frais_JA])-SUMIF(Rencontres_N3_PN_Rx[Code_JA],X188,Rencontres_N3_PN_Rx[frais defiscalisable]),"")</f>
        <v/>
      </c>
      <c r="AE188" s="121" t="str">
        <f>IF(X188&lt;&gt;"",SUMIF(Rencontres_N3_PN_Rx[Code_JA],X188,Rencontres_N3_PN_Rx[frais defiscalisable]),"")</f>
        <v/>
      </c>
    </row>
    <row r="189" spans="1:31" ht="15" customHeight="1" x14ac:dyDescent="0.25">
      <c r="A189" s="19" t="s">
        <v>1508</v>
      </c>
      <c r="B189" s="20" t="s">
        <v>1509</v>
      </c>
      <c r="C189" s="21" t="s">
        <v>1502</v>
      </c>
      <c r="D189" s="21" t="s">
        <v>1510</v>
      </c>
      <c r="E189" s="21" t="s">
        <v>1511</v>
      </c>
      <c r="F189" s="19">
        <v>27290</v>
      </c>
      <c r="G189" s="21" t="s">
        <v>1512</v>
      </c>
      <c r="H189" s="42" t="s">
        <v>1513</v>
      </c>
      <c r="I189" s="43" t="s">
        <v>1514</v>
      </c>
      <c r="J189" s="43" t="s">
        <v>1515</v>
      </c>
      <c r="K189" s="44" t="s">
        <v>1286</v>
      </c>
      <c r="L189" s="21" t="s">
        <v>1287</v>
      </c>
      <c r="M189" s="19">
        <f>_xlfn.XLOOKUP(tab_JA[[#This Row],[Code]],Rencontres_N3_PN_Rx[Code_JA],Rencontres_N3_PN_Rx[prest],0,0)</f>
        <v>0</v>
      </c>
      <c r="N189" s="19" t="s">
        <v>36</v>
      </c>
      <c r="O189" s="26"/>
      <c r="P189" s="27">
        <f>SUMIF(Rencontres_N3_PN_Rx[Code_JA],tab_JA[[#This Row],[Code]],Rencontres_N3_PN_Rx[Frais_JA])</f>
        <v>0</v>
      </c>
      <c r="W189" s="31" t="str">
        <f>IF(X189&lt;&gt;"",_xlfn.XLOOKUP(X189,tab_JA[Code],tab_JA[N_licence],"so"),"")</f>
        <v/>
      </c>
      <c r="X189" s="32"/>
      <c r="AA189" s="33" t="s">
        <v>2552</v>
      </c>
      <c r="AB189" s="33" t="s">
        <v>2552</v>
      </c>
      <c r="AC189" s="33" t="s">
        <v>2552</v>
      </c>
      <c r="AD189" s="34" t="str">
        <f>IF(X189&lt;&gt;"",SUMIF(Rencontres_N3_PN_Rx[Code_JA],X189,Rencontres_N3_PN_Rx[Frais_JA])-SUMIF(Rencontres_N3_PN_Rx[Code_JA],X189,Rencontres_N3_PN_Rx[frais defiscalisable]),"")</f>
        <v/>
      </c>
      <c r="AE189" s="121" t="str">
        <f>IF(X189&lt;&gt;"",SUMIF(Rencontres_N3_PN_Rx[Code_JA],X189,Rencontres_N3_PN_Rx[frais defiscalisable]),"")</f>
        <v/>
      </c>
    </row>
    <row r="190" spans="1:31" ht="15" customHeight="1" x14ac:dyDescent="0.25">
      <c r="A190" s="19" t="s">
        <v>1524</v>
      </c>
      <c r="B190" s="20" t="s">
        <v>1525</v>
      </c>
      <c r="C190" s="21" t="s">
        <v>1526</v>
      </c>
      <c r="D190" s="21" t="s">
        <v>1527</v>
      </c>
      <c r="E190" s="21" t="s">
        <v>1528</v>
      </c>
      <c r="F190" s="19">
        <v>50400</v>
      </c>
      <c r="G190" s="21" t="s">
        <v>1529</v>
      </c>
      <c r="H190" s="42" t="s">
        <v>1530</v>
      </c>
      <c r="I190" s="43" t="s">
        <v>1531</v>
      </c>
      <c r="J190" s="43" t="s">
        <v>1532</v>
      </c>
      <c r="K190" s="44" t="s">
        <v>1533</v>
      </c>
      <c r="L190" s="21" t="s">
        <v>1534</v>
      </c>
      <c r="M190" s="19">
        <f>_xlfn.XLOOKUP(tab_JA[[#This Row],[Code]],Rencontres_N3_PN_Rx[Code_JA],Rencontres_N3_PN_Rx[prest],0,0)</f>
        <v>2</v>
      </c>
      <c r="N190" s="19" t="s">
        <v>36</v>
      </c>
      <c r="O190" s="26"/>
      <c r="P190" s="27">
        <f>SUMIF(Rencontres_N3_PN_Rx[Code_JA],tab_JA[[#This Row],[Code]],Rencontres_N3_PN_Rx[Frais_JA])</f>
        <v>85.4</v>
      </c>
      <c r="W190" s="31" t="str">
        <f>IF(X190&lt;&gt;"",_xlfn.XLOOKUP(X190,tab_JA[Code],tab_JA[N_licence],"so"),"")</f>
        <v/>
      </c>
      <c r="X190" s="32"/>
      <c r="AA190" s="33" t="s">
        <v>2552</v>
      </c>
      <c r="AB190" s="33" t="s">
        <v>2552</v>
      </c>
      <c r="AC190" s="33" t="s">
        <v>2552</v>
      </c>
      <c r="AD190" s="34" t="str">
        <f>IF(X190&lt;&gt;"",SUMIF(Rencontres_N3_PN_Rx[Code_JA],X190,Rencontres_N3_PN_Rx[Frais_JA])-SUMIF(Rencontres_N3_PN_Rx[Code_JA],X190,Rencontres_N3_PN_Rx[frais defiscalisable]),"")</f>
        <v/>
      </c>
      <c r="AE190" s="121" t="str">
        <f>IF(X190&lt;&gt;"",SUMIF(Rencontres_N3_PN_Rx[Code_JA],X190,Rencontres_N3_PN_Rx[frais defiscalisable]),"")</f>
        <v/>
      </c>
    </row>
    <row r="191" spans="1:31" ht="15" customHeight="1" x14ac:dyDescent="0.25">
      <c r="A191" s="19" t="s">
        <v>1576</v>
      </c>
      <c r="B191" s="20" t="s">
        <v>1577</v>
      </c>
      <c r="C191" s="21" t="s">
        <v>1578</v>
      </c>
      <c r="D191" s="21" t="s">
        <v>1110</v>
      </c>
      <c r="E191" s="21" t="s">
        <v>1579</v>
      </c>
      <c r="F191" s="19">
        <v>76160</v>
      </c>
      <c r="G191" s="21" t="s">
        <v>1580</v>
      </c>
      <c r="H191" s="42" t="s">
        <v>1581</v>
      </c>
      <c r="I191" s="43"/>
      <c r="J191" s="43" t="s">
        <v>1582</v>
      </c>
      <c r="K191" s="44" t="s">
        <v>126</v>
      </c>
      <c r="L191" s="21" t="s">
        <v>127</v>
      </c>
      <c r="M191" s="19">
        <f>_xlfn.XLOOKUP(tab_JA[[#This Row],[Code]],Rencontres_N3_PN_Rx[Code_JA],Rencontres_N3_PN_Rx[prest],0,0)</f>
        <v>0</v>
      </c>
      <c r="N191" s="19" t="s">
        <v>36</v>
      </c>
      <c r="O191" s="26"/>
      <c r="P191" s="27">
        <f>SUMIF(Rencontres_N3_PN_Rx[Code_JA],tab_JA[[#This Row],[Code]],Rencontres_N3_PN_Rx[Frais_JA])</f>
        <v>0</v>
      </c>
      <c r="W191" s="31" t="str">
        <f>IF(X191&lt;&gt;"",_xlfn.XLOOKUP(X191,tab_JA[Code],tab_JA[N_licence],"so"),"")</f>
        <v/>
      </c>
      <c r="X191" s="32"/>
      <c r="AA191" s="33" t="s">
        <v>2552</v>
      </c>
      <c r="AB191" s="33" t="s">
        <v>2552</v>
      </c>
      <c r="AC191" s="33" t="s">
        <v>2552</v>
      </c>
      <c r="AD191" s="34" t="str">
        <f>IF(X191&lt;&gt;"",SUMIF(Rencontres_N3_PN_Rx[Code_JA],X191,Rencontres_N3_PN_Rx[Frais_JA])-SUMIF(Rencontres_N3_PN_Rx[Code_JA],X191,Rencontres_N3_PN_Rx[frais defiscalisable]),"")</f>
        <v/>
      </c>
      <c r="AE191" s="121" t="str">
        <f>IF(X191&lt;&gt;"",SUMIF(Rencontres_N3_PN_Rx[Code_JA],X191,Rencontres_N3_PN_Rx[frais defiscalisable]),"")</f>
        <v/>
      </c>
    </row>
    <row r="192" spans="1:31" ht="15" customHeight="1" x14ac:dyDescent="0.25">
      <c r="A192" s="19" t="s">
        <v>3301</v>
      </c>
      <c r="B192" s="46" t="s">
        <v>1493</v>
      </c>
      <c r="C192" s="21" t="s">
        <v>1494</v>
      </c>
      <c r="D192" s="21" t="s">
        <v>542</v>
      </c>
      <c r="E192" s="21" t="s">
        <v>1495</v>
      </c>
      <c r="F192" s="19">
        <v>76520</v>
      </c>
      <c r="G192" s="21" t="s">
        <v>1496</v>
      </c>
      <c r="H192" s="42" t="s">
        <v>1497</v>
      </c>
      <c r="I192" s="43" t="s">
        <v>1498</v>
      </c>
      <c r="J192" s="43" t="s">
        <v>1499</v>
      </c>
      <c r="K192" s="45" t="s">
        <v>932</v>
      </c>
      <c r="L192" s="21" t="s">
        <v>933</v>
      </c>
      <c r="M192" s="19">
        <f>_xlfn.XLOOKUP(tab_JA[[#This Row],[Code]],Rencontres_N3_PN_Rx[Code_JA],Rencontres_N3_PN_Rx[prest],0,0)</f>
        <v>0</v>
      </c>
      <c r="N192" s="19" t="s">
        <v>36</v>
      </c>
      <c r="O192" s="26"/>
      <c r="P192" s="27">
        <f>SUMIF(Rencontres_N3_PN_Rx[Code_JA],tab_JA[[#This Row],[Code]],Rencontres_N3_PN_Rx[Frais_JA])</f>
        <v>0</v>
      </c>
      <c r="W192" s="31" t="str">
        <f>IF(X192&lt;&gt;"",_xlfn.XLOOKUP(X192,tab_JA[Code],tab_JA[N_licence],"so"),"")</f>
        <v/>
      </c>
      <c r="X192" s="32"/>
      <c r="AA192" s="33" t="s">
        <v>2552</v>
      </c>
      <c r="AB192" s="33" t="s">
        <v>2552</v>
      </c>
      <c r="AC192" s="33" t="s">
        <v>2552</v>
      </c>
      <c r="AD192" s="34" t="str">
        <f>IF(X192&lt;&gt;"",SUMIF(Rencontres_N3_PN_Rx[Code_JA],X192,Rencontres_N3_PN_Rx[Frais_JA])-SUMIF(Rencontres_N3_PN_Rx[Code_JA],X192,Rencontres_N3_PN_Rx[frais defiscalisable]),"")</f>
        <v/>
      </c>
      <c r="AE192" s="121" t="str">
        <f>IF(X192&lt;&gt;"",SUMIF(Rencontres_N3_PN_Rx[Code_JA],X192,Rencontres_N3_PN_Rx[frais defiscalisable]),"")</f>
        <v/>
      </c>
    </row>
    <row r="193" spans="1:31" ht="15" customHeight="1" x14ac:dyDescent="0.25">
      <c r="A193" s="19" t="s">
        <v>3303</v>
      </c>
      <c r="B193" s="20" t="s">
        <v>1535</v>
      </c>
      <c r="C193" s="21" t="s">
        <v>1536</v>
      </c>
      <c r="D193" s="21" t="s">
        <v>310</v>
      </c>
      <c r="E193" s="21" t="s">
        <v>1537</v>
      </c>
      <c r="F193" s="19">
        <v>76410</v>
      </c>
      <c r="G193" s="21" t="s">
        <v>1140</v>
      </c>
      <c r="H193" s="42" t="s">
        <v>1538</v>
      </c>
      <c r="I193" s="43"/>
      <c r="J193" s="43" t="s">
        <v>1539</v>
      </c>
      <c r="K193" s="44" t="s">
        <v>394</v>
      </c>
      <c r="L193" s="21" t="s">
        <v>395</v>
      </c>
      <c r="M193" s="19">
        <f>_xlfn.XLOOKUP(tab_JA[[#This Row],[Code]],Rencontres_N3_PN_Rx[Code_JA],Rencontres_N3_PN_Rx[prest],0,0)</f>
        <v>0</v>
      </c>
      <c r="N193" s="19" t="s">
        <v>36</v>
      </c>
      <c r="O193" s="26"/>
      <c r="P193" s="27">
        <f>SUMIF(Rencontres_N3_PN_Rx[Code_JA],tab_JA[[#This Row],[Code]],Rencontres_N3_PN_Rx[Frais_JA])</f>
        <v>0</v>
      </c>
      <c r="W193" s="31" t="str">
        <f>IF(X193&lt;&gt;"",_xlfn.XLOOKUP(X193,tab_JA[Code],tab_JA[N_licence],"so"),"")</f>
        <v/>
      </c>
      <c r="X193" s="32"/>
      <c r="AA193" s="33" t="s">
        <v>2552</v>
      </c>
      <c r="AB193" s="33" t="s">
        <v>2552</v>
      </c>
      <c r="AC193" s="33" t="s">
        <v>2552</v>
      </c>
      <c r="AD193" s="34" t="str">
        <f>IF(X193&lt;&gt;"",SUMIF(Rencontres_N3_PN_Rx[Code_JA],X193,Rencontres_N3_PN_Rx[Frais_JA])-SUMIF(Rencontres_N3_PN_Rx[Code_JA],X193,Rencontres_N3_PN_Rx[frais defiscalisable]),"")</f>
        <v/>
      </c>
      <c r="AE193" s="121" t="str">
        <f>IF(X193&lt;&gt;"",SUMIF(Rencontres_N3_PN_Rx[Code_JA],X193,Rencontres_N3_PN_Rx[frais defiscalisable]),"")</f>
        <v/>
      </c>
    </row>
    <row r="194" spans="1:31" ht="15" customHeight="1" x14ac:dyDescent="0.25">
      <c r="A194" s="19" t="s">
        <v>1706</v>
      </c>
      <c r="B194" s="20" t="s">
        <v>1707</v>
      </c>
      <c r="C194" s="21" t="s">
        <v>1708</v>
      </c>
      <c r="D194" s="21" t="s">
        <v>61</v>
      </c>
      <c r="E194" s="21" t="s">
        <v>1709</v>
      </c>
      <c r="F194" s="19">
        <v>50260</v>
      </c>
      <c r="G194" s="21" t="s">
        <v>1710</v>
      </c>
      <c r="H194" s="42" t="s">
        <v>1711</v>
      </c>
      <c r="I194" s="43" t="s">
        <v>1712</v>
      </c>
      <c r="J194" s="43" t="s">
        <v>1713</v>
      </c>
      <c r="K194" s="44" t="s">
        <v>1714</v>
      </c>
      <c r="L194" s="21" t="s">
        <v>1715</v>
      </c>
      <c r="M194" s="19">
        <f>_xlfn.XLOOKUP(tab_JA[[#This Row],[Code]],Rencontres_N3_PN_Rx[Code_JA],Rencontres_N3_PN_Rx[prest],0,0)</f>
        <v>3</v>
      </c>
      <c r="N194" s="19" t="s">
        <v>36</v>
      </c>
      <c r="O194" s="26"/>
      <c r="P194" s="27">
        <f>SUMIF(Rencontres_N3_PN_Rx[Code_JA],tab_JA[[#This Row],[Code]],Rencontres_N3_PN_Rx[Frais_JA])</f>
        <v>113.7</v>
      </c>
      <c r="W194" s="31" t="str">
        <f>IF(X194&lt;&gt;"",_xlfn.XLOOKUP(X194,tab_JA[Code],tab_JA[N_licence],"so"),"")</f>
        <v/>
      </c>
      <c r="X194" s="32"/>
      <c r="AA194" s="33" t="s">
        <v>2552</v>
      </c>
      <c r="AB194" s="33" t="s">
        <v>2552</v>
      </c>
      <c r="AC194" s="33" t="s">
        <v>2552</v>
      </c>
      <c r="AD194" s="34" t="str">
        <f>IF(X194&lt;&gt;"",SUMIF(Rencontres_N3_PN_Rx[Code_JA],X194,Rencontres_N3_PN_Rx[Frais_JA])-SUMIF(Rencontres_N3_PN_Rx[Code_JA],X194,Rencontres_N3_PN_Rx[frais defiscalisable]),"")</f>
        <v/>
      </c>
      <c r="AE194" s="121" t="str">
        <f>IF(X194&lt;&gt;"",SUMIF(Rencontres_N3_PN_Rx[Code_JA],X194,Rencontres_N3_PN_Rx[frais defiscalisable]),"")</f>
        <v/>
      </c>
    </row>
    <row r="195" spans="1:31" ht="15" customHeight="1" x14ac:dyDescent="0.25">
      <c r="A195" s="19" t="s">
        <v>3316</v>
      </c>
      <c r="B195" s="46" t="s">
        <v>1728</v>
      </c>
      <c r="C195" s="21" t="s">
        <v>1729</v>
      </c>
      <c r="D195" s="21" t="s">
        <v>463</v>
      </c>
      <c r="E195" s="21" t="s">
        <v>1730</v>
      </c>
      <c r="F195" s="19">
        <v>50500</v>
      </c>
      <c r="G195" s="21" t="s">
        <v>1731</v>
      </c>
      <c r="H195" s="42" t="s">
        <v>1732</v>
      </c>
      <c r="I195" s="43" t="s">
        <v>1733</v>
      </c>
      <c r="J195" s="43" t="s">
        <v>1734</v>
      </c>
      <c r="K195" s="45" t="s">
        <v>765</v>
      </c>
      <c r="L195" s="21" t="s">
        <v>766</v>
      </c>
      <c r="M195" s="19">
        <f>_xlfn.XLOOKUP(tab_JA[[#This Row],[Code]],Rencontres_N3_PN_Rx[Code_JA],Rencontres_N3_PN_Rx[prest],0,0)</f>
        <v>3</v>
      </c>
      <c r="N195" s="19" t="s">
        <v>36</v>
      </c>
      <c r="O195" s="26"/>
      <c r="P195" s="27">
        <f>SUMIF(Rencontres_N3_PN_Rx[Code_JA],tab_JA[[#This Row],[Code]],Rencontres_N3_PN_Rx[Frais_JA])</f>
        <v>56.8</v>
      </c>
      <c r="W195" s="31" t="str">
        <f>IF(X195&lt;&gt;"",_xlfn.XLOOKUP(X195,tab_JA[Code],tab_JA[N_licence],"so"),"")</f>
        <v/>
      </c>
      <c r="X195" s="32"/>
      <c r="AA195" s="33" t="s">
        <v>2552</v>
      </c>
      <c r="AB195" s="33" t="s">
        <v>2552</v>
      </c>
      <c r="AC195" s="33" t="s">
        <v>2552</v>
      </c>
      <c r="AD195" s="34" t="str">
        <f>IF(X195&lt;&gt;"",SUMIF(Rencontres_N3_PN_Rx[Code_JA],X195,Rencontres_N3_PN_Rx[Frais_JA])-SUMIF(Rencontres_N3_PN_Rx[Code_JA],X195,Rencontres_N3_PN_Rx[frais defiscalisable]),"")</f>
        <v/>
      </c>
      <c r="AE195" s="121" t="str">
        <f>IF(X195&lt;&gt;"",SUMIF(Rencontres_N3_PN_Rx[Code_JA],X195,Rencontres_N3_PN_Rx[frais defiscalisable]),"")</f>
        <v/>
      </c>
    </row>
    <row r="196" spans="1:31" ht="15" customHeight="1" x14ac:dyDescent="0.25">
      <c r="A196" s="19" t="s">
        <v>3317</v>
      </c>
      <c r="B196" s="20" t="s">
        <v>1745</v>
      </c>
      <c r="C196" s="21" t="s">
        <v>1746</v>
      </c>
      <c r="D196" s="21" t="s">
        <v>542</v>
      </c>
      <c r="E196" s="21" t="s">
        <v>1747</v>
      </c>
      <c r="F196" s="19">
        <v>50160</v>
      </c>
      <c r="G196" s="21" t="s">
        <v>1748</v>
      </c>
      <c r="H196" s="42" t="s">
        <v>1749</v>
      </c>
      <c r="I196" s="43" t="s">
        <v>1750</v>
      </c>
      <c r="J196" s="43" t="s">
        <v>1751</v>
      </c>
      <c r="K196" s="44" t="s">
        <v>1468</v>
      </c>
      <c r="L196" s="21" t="s">
        <v>1469</v>
      </c>
      <c r="M196" s="19">
        <f>_xlfn.XLOOKUP(tab_JA[[#This Row],[Code]],Rencontres_N3_PN_Rx[Code_JA],Rencontres_N3_PN_Rx[prest],0,0)</f>
        <v>2</v>
      </c>
      <c r="N196" s="19" t="s">
        <v>36</v>
      </c>
      <c r="O196" s="26"/>
      <c r="P196" s="27">
        <f>SUMIF(Rencontres_N3_PN_Rx[Code_JA],tab_JA[[#This Row],[Code]],Rencontres_N3_PN_Rx[Frais_JA])</f>
        <v>0</v>
      </c>
      <c r="W196" s="31" t="str">
        <f>IF(X196&lt;&gt;"",_xlfn.XLOOKUP(X196,tab_JA[Code],tab_JA[N_licence],"so"),"")</f>
        <v/>
      </c>
      <c r="X196" s="32"/>
      <c r="AA196" s="33" t="s">
        <v>2552</v>
      </c>
      <c r="AB196" s="33" t="s">
        <v>2552</v>
      </c>
      <c r="AC196" s="33" t="s">
        <v>2552</v>
      </c>
      <c r="AD196" s="34" t="str">
        <f>IF(X196&lt;&gt;"",SUMIF(Rencontres_N3_PN_Rx[Code_JA],X196,Rencontres_N3_PN_Rx[Frais_JA])-SUMIF(Rencontres_N3_PN_Rx[Code_JA],X196,Rencontres_N3_PN_Rx[frais defiscalisable]),"")</f>
        <v/>
      </c>
      <c r="AE196" s="121" t="str">
        <f>IF(X196&lt;&gt;"",SUMIF(Rencontres_N3_PN_Rx[Code_JA],X196,Rencontres_N3_PN_Rx[frais defiscalisable]),"")</f>
        <v/>
      </c>
    </row>
    <row r="197" spans="1:31" ht="15" customHeight="1" x14ac:dyDescent="0.25">
      <c r="A197" s="19" t="s">
        <v>3310</v>
      </c>
      <c r="B197" s="20" t="s">
        <v>1656</v>
      </c>
      <c r="C197" s="21" t="s">
        <v>1657</v>
      </c>
      <c r="D197" s="21" t="s">
        <v>1658</v>
      </c>
      <c r="E197" s="21" t="s">
        <v>1659</v>
      </c>
      <c r="F197" s="19">
        <v>76100</v>
      </c>
      <c r="G197" s="21" t="s">
        <v>411</v>
      </c>
      <c r="H197" s="42" t="s">
        <v>1660</v>
      </c>
      <c r="I197" s="43"/>
      <c r="J197" s="43" t="s">
        <v>1661</v>
      </c>
      <c r="K197" s="44" t="s">
        <v>199</v>
      </c>
      <c r="L197" s="21" t="s">
        <v>200</v>
      </c>
      <c r="M197" s="19">
        <f>_xlfn.XLOOKUP(tab_JA[[#This Row],[Code]],Rencontres_N3_PN_Rx[Code_JA],Rencontres_N3_PN_Rx[prest],0,0)</f>
        <v>0</v>
      </c>
      <c r="N197" s="19" t="s">
        <v>36</v>
      </c>
      <c r="O197" s="26"/>
      <c r="P197" s="27">
        <f>SUMIF(Rencontres_N3_PN_Rx[Code_JA],tab_JA[[#This Row],[Code]],Rencontres_N3_PN_Rx[Frais_JA])</f>
        <v>0</v>
      </c>
      <c r="W197" s="31" t="str">
        <f>IF(X197&lt;&gt;"",_xlfn.XLOOKUP(X197,tab_JA[Code],tab_JA[N_licence],"so"),"")</f>
        <v/>
      </c>
      <c r="X197" s="32"/>
      <c r="AA197" s="33" t="s">
        <v>2552</v>
      </c>
      <c r="AB197" s="33" t="s">
        <v>2552</v>
      </c>
      <c r="AC197" s="33" t="s">
        <v>2552</v>
      </c>
      <c r="AD197" s="34" t="str">
        <f>IF(X197&lt;&gt;"",SUMIF(Rencontres_N3_PN_Rx[Code_JA],X197,Rencontres_N3_PN_Rx[Frais_JA])-SUMIF(Rencontres_N3_PN_Rx[Code_JA],X197,Rencontres_N3_PN_Rx[frais defiscalisable]),"")</f>
        <v/>
      </c>
      <c r="AE197" s="121" t="str">
        <f>IF(X197&lt;&gt;"",SUMIF(Rencontres_N3_PN_Rx[Code_JA],X197,Rencontres_N3_PN_Rx[frais defiscalisable]),"")</f>
        <v/>
      </c>
    </row>
    <row r="198" spans="1:31" ht="15" customHeight="1" x14ac:dyDescent="0.25">
      <c r="A198" s="19" t="s">
        <v>3319</v>
      </c>
      <c r="B198" s="20" t="s">
        <v>1760</v>
      </c>
      <c r="C198" s="21" t="s">
        <v>1761</v>
      </c>
      <c r="D198" s="21" t="s">
        <v>1762</v>
      </c>
      <c r="E198" s="21" t="s">
        <v>1763</v>
      </c>
      <c r="F198" s="19">
        <v>27450</v>
      </c>
      <c r="G198" s="21" t="s">
        <v>1764</v>
      </c>
      <c r="H198" s="42" t="s">
        <v>1765</v>
      </c>
      <c r="I198" s="43"/>
      <c r="J198" s="43" t="s">
        <v>1766</v>
      </c>
      <c r="K198" s="44" t="s">
        <v>1286</v>
      </c>
      <c r="L198" s="21" t="s">
        <v>1287</v>
      </c>
      <c r="M198" s="19">
        <f>_xlfn.XLOOKUP(tab_JA[[#This Row],[Code]],Rencontres_N3_PN_Rx[Code_JA],Rencontres_N3_PN_Rx[prest],0,0)</f>
        <v>0</v>
      </c>
      <c r="N198" s="19" t="s">
        <v>36</v>
      </c>
      <c r="O198" s="26"/>
      <c r="P198" s="27">
        <f>SUMIF(Rencontres_N3_PN_Rx[Code_JA],tab_JA[[#This Row],[Code]],Rencontres_N3_PN_Rx[Frais_JA])</f>
        <v>0</v>
      </c>
      <c r="W198" s="31" t="str">
        <f>IF(X198&lt;&gt;"",_xlfn.XLOOKUP(X198,tab_JA[Code],tab_JA[N_licence],"so"),"")</f>
        <v/>
      </c>
      <c r="X198" s="32"/>
      <c r="AA198" s="33" t="s">
        <v>2552</v>
      </c>
      <c r="AB198" s="33" t="s">
        <v>2552</v>
      </c>
      <c r="AC198" s="33" t="s">
        <v>2552</v>
      </c>
      <c r="AD198" s="34" t="str">
        <f>IF(X198&lt;&gt;"",SUMIF(Rencontres_N3_PN_Rx[Code_JA],X198,Rencontres_N3_PN_Rx[Frais_JA])-SUMIF(Rencontres_N3_PN_Rx[Code_JA],X198,Rencontres_N3_PN_Rx[frais defiscalisable]),"")</f>
        <v/>
      </c>
      <c r="AE198" s="121" t="str">
        <f>IF(X198&lt;&gt;"",SUMIF(Rencontres_N3_PN_Rx[Code_JA],X198,Rencontres_N3_PN_Rx[frais defiscalisable]),"")</f>
        <v/>
      </c>
    </row>
    <row r="199" spans="1:31" ht="15" customHeight="1" x14ac:dyDescent="0.25">
      <c r="A199" s="19" t="s">
        <v>3318</v>
      </c>
      <c r="B199" s="20" t="s">
        <v>1752</v>
      </c>
      <c r="C199" s="21" t="s">
        <v>1753</v>
      </c>
      <c r="D199" s="21" t="s">
        <v>1754</v>
      </c>
      <c r="E199" s="21" t="s">
        <v>1755</v>
      </c>
      <c r="F199" s="19">
        <v>27260</v>
      </c>
      <c r="G199" s="21" t="s">
        <v>1756</v>
      </c>
      <c r="H199" s="42" t="s">
        <v>1757</v>
      </c>
      <c r="I199" s="43" t="s">
        <v>1758</v>
      </c>
      <c r="J199" s="43" t="s">
        <v>1759</v>
      </c>
      <c r="K199" s="44" t="s">
        <v>864</v>
      </c>
      <c r="L199" s="21" t="s">
        <v>865</v>
      </c>
      <c r="M199" s="19">
        <f>_xlfn.XLOOKUP(tab_JA[[#This Row],[Code]],Rencontres_N3_PN_Rx[Code_JA],Rencontres_N3_PN_Rx[prest],0,0)</f>
        <v>0</v>
      </c>
      <c r="N199" s="19" t="s">
        <v>36</v>
      </c>
      <c r="O199" s="26"/>
      <c r="P199" s="27">
        <f>SUMIF(Rencontres_N3_PN_Rx[Code_JA],tab_JA[[#This Row],[Code]],Rencontres_N3_PN_Rx[Frais_JA])</f>
        <v>0</v>
      </c>
      <c r="W199" s="31" t="str">
        <f>IF(X199&lt;&gt;"",_xlfn.XLOOKUP(X199,tab_JA[Code],tab_JA[N_licence],"so"),"")</f>
        <v/>
      </c>
      <c r="X199" s="32"/>
      <c r="AA199" s="33" t="s">
        <v>2552</v>
      </c>
      <c r="AB199" s="33" t="s">
        <v>2552</v>
      </c>
      <c r="AC199" s="33" t="s">
        <v>2552</v>
      </c>
      <c r="AD199" s="34" t="str">
        <f>IF(X199&lt;&gt;"",SUMIF(Rencontres_N3_PN_Rx[Code_JA],X199,Rencontres_N3_PN_Rx[Frais_JA])-SUMIF(Rencontres_N3_PN_Rx[Code_JA],X199,Rencontres_N3_PN_Rx[frais defiscalisable]),"")</f>
        <v/>
      </c>
      <c r="AE199" s="121" t="str">
        <f>IF(X199&lt;&gt;"",SUMIF(Rencontres_N3_PN_Rx[Code_JA],X199,Rencontres_N3_PN_Rx[frais defiscalisable]),"")</f>
        <v/>
      </c>
    </row>
    <row r="200" spans="1:31" ht="15" customHeight="1" x14ac:dyDescent="0.25">
      <c r="A200" s="19" t="s">
        <v>3312</v>
      </c>
      <c r="B200" s="46" t="s">
        <v>1668</v>
      </c>
      <c r="C200" s="21" t="s">
        <v>1669</v>
      </c>
      <c r="D200" s="21" t="s">
        <v>1670</v>
      </c>
      <c r="E200" s="21" t="s">
        <v>1671</v>
      </c>
      <c r="F200" s="19">
        <v>76360</v>
      </c>
      <c r="G200" s="21" t="s">
        <v>679</v>
      </c>
      <c r="H200" s="42" t="s">
        <v>1672</v>
      </c>
      <c r="I200" s="43"/>
      <c r="J200" s="43" t="s">
        <v>1673</v>
      </c>
      <c r="K200" s="45" t="s">
        <v>682</v>
      </c>
      <c r="L200" s="21" t="s">
        <v>683</v>
      </c>
      <c r="M200" s="19">
        <f>_xlfn.XLOOKUP(tab_JA[[#This Row],[Code]],Rencontres_N3_PN_Rx[Code_JA],Rencontres_N3_PN_Rx[prest],0,0)</f>
        <v>0</v>
      </c>
      <c r="N200" s="19" t="s">
        <v>36</v>
      </c>
      <c r="O200" s="26"/>
      <c r="P200" s="27">
        <f>SUMIF(Rencontres_N3_PN_Rx[Code_JA],tab_JA[[#This Row],[Code]],Rencontres_N3_PN_Rx[Frais_JA])</f>
        <v>0</v>
      </c>
      <c r="W200" s="31" t="str">
        <f>IF(X200&lt;&gt;"",_xlfn.XLOOKUP(X200,tab_JA[Code],tab_JA[N_licence],"so"),"")</f>
        <v/>
      </c>
      <c r="X200" s="32"/>
      <c r="AA200" s="33" t="s">
        <v>2552</v>
      </c>
      <c r="AB200" s="33" t="s">
        <v>2552</v>
      </c>
      <c r="AC200" s="33" t="s">
        <v>2552</v>
      </c>
      <c r="AD200" s="34" t="str">
        <f>IF(X200&lt;&gt;"",SUMIF(Rencontres_N3_PN_Rx[Code_JA],X200,Rencontres_N3_PN_Rx[Frais_JA])-SUMIF(Rencontres_N3_PN_Rx[Code_JA],X200,Rencontres_N3_PN_Rx[frais defiscalisable]),"")</f>
        <v/>
      </c>
      <c r="AE200" s="121" t="str">
        <f>IF(X200&lt;&gt;"",SUMIF(Rencontres_N3_PN_Rx[Code_JA],X200,Rencontres_N3_PN_Rx[frais defiscalisable]),"")</f>
        <v/>
      </c>
    </row>
    <row r="201" spans="1:31" ht="15" customHeight="1" x14ac:dyDescent="0.25">
      <c r="A201" s="19" t="s">
        <v>1735</v>
      </c>
      <c r="B201" s="46" t="s">
        <v>1736</v>
      </c>
      <c r="C201" s="21" t="s">
        <v>1737</v>
      </c>
      <c r="D201" s="21" t="s">
        <v>1738</v>
      </c>
      <c r="E201" s="21" t="s">
        <v>1739</v>
      </c>
      <c r="F201" s="19">
        <v>61220</v>
      </c>
      <c r="G201" s="21" t="s">
        <v>1740</v>
      </c>
      <c r="H201" s="42" t="s">
        <v>1741</v>
      </c>
      <c r="I201" s="43" t="s">
        <v>1742</v>
      </c>
      <c r="J201" s="43" t="s">
        <v>1742</v>
      </c>
      <c r="K201" s="45" t="s">
        <v>1743</v>
      </c>
      <c r="L201" s="21" t="s">
        <v>1744</v>
      </c>
      <c r="M201" s="19">
        <f>_xlfn.XLOOKUP(tab_JA[[#This Row],[Code]],Rencontres_N3_PN_Rx[Code_JA],Rencontres_N3_PN_Rx[prest],0,0)</f>
        <v>0</v>
      </c>
      <c r="N201" s="19" t="s">
        <v>36</v>
      </c>
      <c r="O201" s="26"/>
      <c r="P201" s="27">
        <f>SUMIF(Rencontres_N3_PN_Rx[Code_JA],tab_JA[[#This Row],[Code]],Rencontres_N3_PN_Rx[Frais_JA])</f>
        <v>0</v>
      </c>
      <c r="W201" s="31" t="str">
        <f>IF(X201&lt;&gt;"",_xlfn.XLOOKUP(X201,tab_JA[Code],tab_JA[N_licence],"so"),"")</f>
        <v/>
      </c>
      <c r="X201" s="32"/>
      <c r="AA201" s="33" t="s">
        <v>2552</v>
      </c>
      <c r="AB201" s="33" t="s">
        <v>2552</v>
      </c>
      <c r="AC201" s="33" t="s">
        <v>2552</v>
      </c>
      <c r="AD201" s="34" t="str">
        <f>IF(X201&lt;&gt;"",SUMIF(Rencontres_N3_PN_Rx[Code_JA],X201,Rencontres_N3_PN_Rx[Frais_JA])-SUMIF(Rencontres_N3_PN_Rx[Code_JA],X201,Rencontres_N3_PN_Rx[frais defiscalisable]),"")</f>
        <v/>
      </c>
      <c r="AE201" s="121" t="str">
        <f>IF(X201&lt;&gt;"",SUMIF(Rencontres_N3_PN_Rx[Code_JA],X201,Rencontres_N3_PN_Rx[frais defiscalisable]),"")</f>
        <v/>
      </c>
    </row>
    <row r="202" spans="1:31" ht="15" customHeight="1" x14ac:dyDescent="0.25">
      <c r="A202" s="19" t="s">
        <v>3320</v>
      </c>
      <c r="B202" s="20" t="s">
        <v>1803</v>
      </c>
      <c r="C202" s="21" t="s">
        <v>1804</v>
      </c>
      <c r="D202" s="21" t="s">
        <v>542</v>
      </c>
      <c r="E202" s="21" t="s">
        <v>1805</v>
      </c>
      <c r="F202" s="19">
        <v>76430</v>
      </c>
      <c r="G202" s="21" t="s">
        <v>1806</v>
      </c>
      <c r="H202" s="42" t="s">
        <v>1807</v>
      </c>
      <c r="I202" s="43" t="s">
        <v>1808</v>
      </c>
      <c r="J202" s="43" t="s">
        <v>1809</v>
      </c>
      <c r="K202" s="44" t="s">
        <v>1810</v>
      </c>
      <c r="L202" s="21" t="s">
        <v>1811</v>
      </c>
      <c r="M202" s="19">
        <f>_xlfn.XLOOKUP(tab_JA[[#This Row],[Code]],Rencontres_N3_PN_Rx[Code_JA],Rencontres_N3_PN_Rx[prest],0,0)</f>
        <v>0</v>
      </c>
      <c r="N202" s="19" t="s">
        <v>36</v>
      </c>
      <c r="O202" s="26"/>
      <c r="P202" s="27">
        <f>SUMIF(Rencontres_N3_PN_Rx[Code_JA],tab_JA[[#This Row],[Code]],Rencontres_N3_PN_Rx[Frais_JA])</f>
        <v>0</v>
      </c>
      <c r="W202" s="31" t="str">
        <f>IF(X202&lt;&gt;"",_xlfn.XLOOKUP(X202,tab_JA[Code],tab_JA[N_licence],"so"),"")</f>
        <v/>
      </c>
      <c r="X202" s="32"/>
      <c r="AA202" s="33" t="s">
        <v>2552</v>
      </c>
      <c r="AB202" s="33" t="s">
        <v>2552</v>
      </c>
      <c r="AC202" s="33" t="s">
        <v>2552</v>
      </c>
      <c r="AD202" s="34" t="str">
        <f>IF(X202&lt;&gt;"",SUMIF(Rencontres_N3_PN_Rx[Code_JA],X202,Rencontres_N3_PN_Rx[Frais_JA])-SUMIF(Rencontres_N3_PN_Rx[Code_JA],X202,Rencontres_N3_PN_Rx[frais defiscalisable]),"")</f>
        <v/>
      </c>
      <c r="AE202" s="121" t="str">
        <f>IF(X202&lt;&gt;"",SUMIF(Rencontres_N3_PN_Rx[Code_JA],X202,Rencontres_N3_PN_Rx[frais defiscalisable]),"")</f>
        <v/>
      </c>
    </row>
    <row r="203" spans="1:31" ht="15" customHeight="1" x14ac:dyDescent="0.25">
      <c r="A203" s="19" t="s">
        <v>1583</v>
      </c>
      <c r="B203" s="20" t="s">
        <v>1584</v>
      </c>
      <c r="C203" s="21" t="s">
        <v>1585</v>
      </c>
      <c r="D203" s="21" t="s">
        <v>516</v>
      </c>
      <c r="E203" s="21" t="s">
        <v>1586</v>
      </c>
      <c r="F203" s="19">
        <v>50320</v>
      </c>
      <c r="G203" s="21" t="s">
        <v>1587</v>
      </c>
      <c r="H203" s="42" t="s">
        <v>1588</v>
      </c>
      <c r="I203" s="43" t="s">
        <v>1589</v>
      </c>
      <c r="J203" s="43" t="s">
        <v>1590</v>
      </c>
      <c r="K203" s="44" t="s">
        <v>1591</v>
      </c>
      <c r="L203" s="21" t="s">
        <v>1592</v>
      </c>
      <c r="M203" s="19">
        <f>_xlfn.XLOOKUP(tab_JA[[#This Row],[Code]],Rencontres_N3_PN_Rx[Code_JA],Rencontres_N3_PN_Rx[prest],0,0)</f>
        <v>0</v>
      </c>
      <c r="N203" s="19" t="s">
        <v>36</v>
      </c>
      <c r="O203" s="26"/>
      <c r="P203" s="27">
        <f>SUMIF(Rencontres_N3_PN_Rx[Code_JA],tab_JA[[#This Row],[Code]],Rencontres_N3_PN_Rx[Frais_JA])</f>
        <v>0</v>
      </c>
      <c r="W203" s="31" t="str">
        <f>IF(X203&lt;&gt;"",_xlfn.XLOOKUP(X203,tab_JA[Code],tab_JA[N_licence],"so"),"")</f>
        <v/>
      </c>
      <c r="X203" s="32"/>
      <c r="AA203" s="33" t="s">
        <v>2552</v>
      </c>
      <c r="AB203" s="33" t="s">
        <v>2552</v>
      </c>
      <c r="AC203" s="33" t="s">
        <v>2552</v>
      </c>
      <c r="AD203" s="34" t="str">
        <f>IF(X203&lt;&gt;"",SUMIF(Rencontres_N3_PN_Rx[Code_JA],X203,Rencontres_N3_PN_Rx[Frais_JA])-SUMIF(Rencontres_N3_PN_Rx[Code_JA],X203,Rencontres_N3_PN_Rx[frais defiscalisable]),"")</f>
        <v/>
      </c>
      <c r="AE203" s="121" t="str">
        <f>IF(X203&lt;&gt;"",SUMIF(Rencontres_N3_PN_Rx[Code_JA],X203,Rencontres_N3_PN_Rx[frais defiscalisable]),"")</f>
        <v/>
      </c>
    </row>
    <row r="204" spans="1:31" ht="15" customHeight="1" x14ac:dyDescent="0.25">
      <c r="A204" s="19" t="s">
        <v>3306</v>
      </c>
      <c r="B204" s="20" t="s">
        <v>1619</v>
      </c>
      <c r="C204" s="21" t="s">
        <v>1620</v>
      </c>
      <c r="D204" s="21" t="s">
        <v>516</v>
      </c>
      <c r="E204" s="21" t="s">
        <v>1621</v>
      </c>
      <c r="F204" s="19">
        <v>27910</v>
      </c>
      <c r="G204" s="21" t="s">
        <v>1622</v>
      </c>
      <c r="H204" s="42" t="s">
        <v>1623</v>
      </c>
      <c r="I204" s="43"/>
      <c r="J204" s="43" t="s">
        <v>1624</v>
      </c>
      <c r="K204" s="44" t="s">
        <v>1625</v>
      </c>
      <c r="L204" s="21" t="s">
        <v>1626</v>
      </c>
      <c r="M204" s="19">
        <f>_xlfn.XLOOKUP(tab_JA[[#This Row],[Code]],Rencontres_N3_PN_Rx[Code_JA],Rencontres_N3_PN_Rx[prest],0,0)</f>
        <v>0</v>
      </c>
      <c r="N204" s="19" t="s">
        <v>36</v>
      </c>
      <c r="O204" s="26"/>
      <c r="P204" s="27">
        <f>SUMIF(Rencontres_N3_PN_Rx[Code_JA],tab_JA[[#This Row],[Code]],Rencontres_N3_PN_Rx[Frais_JA])</f>
        <v>0</v>
      </c>
      <c r="W204" s="31" t="str">
        <f>IF(X204&lt;&gt;"",_xlfn.XLOOKUP(X204,tab_JA[Code],tab_JA[N_licence],"so"),"")</f>
        <v/>
      </c>
      <c r="X204" s="32"/>
      <c r="AA204" s="33" t="s">
        <v>2552</v>
      </c>
      <c r="AB204" s="33" t="s">
        <v>2552</v>
      </c>
      <c r="AC204" s="33" t="s">
        <v>2552</v>
      </c>
      <c r="AD204" s="34" t="str">
        <f>IF(X204&lt;&gt;"",SUMIF(Rencontres_N3_PN_Rx[Code_JA],X204,Rencontres_N3_PN_Rx[Frais_JA])-SUMIF(Rencontres_N3_PN_Rx[Code_JA],X204,Rencontres_N3_PN_Rx[frais defiscalisable]),"")</f>
        <v/>
      </c>
      <c r="AE204" s="121" t="str">
        <f>IF(X204&lt;&gt;"",SUMIF(Rencontres_N3_PN_Rx[Code_JA],X204,Rencontres_N3_PN_Rx[frais defiscalisable]),"")</f>
        <v/>
      </c>
    </row>
    <row r="205" spans="1:31" ht="15" customHeight="1" x14ac:dyDescent="0.25">
      <c r="A205" s="19" t="s">
        <v>1674</v>
      </c>
      <c r="B205" s="20" t="s">
        <v>1675</v>
      </c>
      <c r="C205" s="21" t="s">
        <v>1676</v>
      </c>
      <c r="D205" s="21" t="s">
        <v>361</v>
      </c>
      <c r="E205" s="21" t="s">
        <v>1677</v>
      </c>
      <c r="F205" s="19">
        <v>50470</v>
      </c>
      <c r="G205" s="21" t="s">
        <v>1678</v>
      </c>
      <c r="H205" s="42" t="s">
        <v>1679</v>
      </c>
      <c r="I205" s="43" t="s">
        <v>1680</v>
      </c>
      <c r="J205" s="43" t="s">
        <v>1681</v>
      </c>
      <c r="K205" s="44" t="s">
        <v>1682</v>
      </c>
      <c r="L205" s="21" t="s">
        <v>1683</v>
      </c>
      <c r="M205" s="19">
        <f>_xlfn.XLOOKUP(tab_JA[[#This Row],[Code]],Rencontres_N3_PN_Rx[Code_JA],Rencontres_N3_PN_Rx[prest],0,0)</f>
        <v>2</v>
      </c>
      <c r="N205" s="19" t="s">
        <v>36</v>
      </c>
      <c r="O205" s="26"/>
      <c r="P205" s="27">
        <f>SUMIF(Rencontres_N3_PN_Rx[Code_JA],tab_JA[[#This Row],[Code]],Rencontres_N3_PN_Rx[Frais_JA])</f>
        <v>65</v>
      </c>
      <c r="W205" s="31" t="str">
        <f>IF(X205&lt;&gt;"",_xlfn.XLOOKUP(X205,tab_JA[Code],tab_JA[N_licence],"so"),"")</f>
        <v/>
      </c>
      <c r="X205" s="32"/>
      <c r="AA205" s="33" t="s">
        <v>2552</v>
      </c>
      <c r="AB205" s="33" t="s">
        <v>2552</v>
      </c>
      <c r="AC205" s="33" t="s">
        <v>2552</v>
      </c>
      <c r="AD205" s="34" t="str">
        <f>IF(X205&lt;&gt;"",SUMIF(Rencontres_N3_PN_Rx[Code_JA],X205,Rencontres_N3_PN_Rx[Frais_JA])-SUMIF(Rencontres_N3_PN_Rx[Code_JA],X205,Rencontres_N3_PN_Rx[frais defiscalisable]),"")</f>
        <v/>
      </c>
      <c r="AE205" s="121" t="str">
        <f>IF(X205&lt;&gt;"",SUMIF(Rencontres_N3_PN_Rx[Code_JA],X205,Rencontres_N3_PN_Rx[frais defiscalisable]),"")</f>
        <v/>
      </c>
    </row>
    <row r="206" spans="1:31" ht="15" customHeight="1" x14ac:dyDescent="0.25">
      <c r="A206" s="19" t="s">
        <v>1812</v>
      </c>
      <c r="B206" s="46" t="s">
        <v>1813</v>
      </c>
      <c r="C206" s="21" t="s">
        <v>1814</v>
      </c>
      <c r="D206" s="21" t="s">
        <v>1815</v>
      </c>
      <c r="E206" s="21" t="s">
        <v>1816</v>
      </c>
      <c r="F206" s="19">
        <v>14430</v>
      </c>
      <c r="G206" s="21" t="s">
        <v>1817</v>
      </c>
      <c r="H206" s="42" t="s">
        <v>1818</v>
      </c>
      <c r="I206" s="43"/>
      <c r="J206" s="43" t="s">
        <v>1819</v>
      </c>
      <c r="K206" s="45" t="s">
        <v>108</v>
      </c>
      <c r="L206" s="21" t="s">
        <v>109</v>
      </c>
      <c r="M206" s="19">
        <f>_xlfn.XLOOKUP(tab_JA[[#This Row],[Code]],Rencontres_N3_PN_Rx[Code_JA],Rencontres_N3_PN_Rx[prest],0,0)</f>
        <v>0</v>
      </c>
      <c r="N206" s="19" t="s">
        <v>36</v>
      </c>
      <c r="O206" s="26"/>
      <c r="P206" s="27">
        <f>SUMIF(Rencontres_N3_PN_Rx[Code_JA],tab_JA[[#This Row],[Code]],Rencontres_N3_PN_Rx[Frais_JA])</f>
        <v>0</v>
      </c>
      <c r="W206" s="31" t="str">
        <f>IF(X206&lt;&gt;"",_xlfn.XLOOKUP(X206,tab_JA[Code],tab_JA[N_licence],"so"),"")</f>
        <v/>
      </c>
      <c r="X206" s="32"/>
      <c r="AA206" s="33" t="s">
        <v>2552</v>
      </c>
      <c r="AB206" s="33" t="s">
        <v>2552</v>
      </c>
      <c r="AC206" s="33" t="s">
        <v>2552</v>
      </c>
      <c r="AD206" s="34" t="str">
        <f>IF(X206&lt;&gt;"",SUMIF(Rencontres_N3_PN_Rx[Code_JA],X206,Rencontres_N3_PN_Rx[Frais_JA])-SUMIF(Rencontres_N3_PN_Rx[Code_JA],X206,Rencontres_N3_PN_Rx[frais defiscalisable]),"")</f>
        <v/>
      </c>
      <c r="AE206" s="121" t="str">
        <f>IF(X206&lt;&gt;"",SUMIF(Rencontres_N3_PN_Rx[Code_JA],X206,Rencontres_N3_PN_Rx[frais defiscalisable]),"")</f>
        <v/>
      </c>
    </row>
    <row r="207" spans="1:31" ht="15" customHeight="1" x14ac:dyDescent="0.25">
      <c r="A207" s="19" t="s">
        <v>1828</v>
      </c>
      <c r="B207" s="20" t="s">
        <v>1829</v>
      </c>
      <c r="C207" s="21" t="s">
        <v>1830</v>
      </c>
      <c r="D207" s="21" t="s">
        <v>1831</v>
      </c>
      <c r="E207" s="21" t="s">
        <v>1832</v>
      </c>
      <c r="F207" s="19">
        <v>76520</v>
      </c>
      <c r="G207" s="21" t="s">
        <v>1833</v>
      </c>
      <c r="H207" s="42" t="s">
        <v>1834</v>
      </c>
      <c r="I207" s="43"/>
      <c r="J207" s="43" t="s">
        <v>1835</v>
      </c>
      <c r="K207" s="44" t="s">
        <v>557</v>
      </c>
      <c r="L207" s="21" t="s">
        <v>558</v>
      </c>
      <c r="M207" s="19">
        <f>_xlfn.XLOOKUP(tab_JA[[#This Row],[Code]],Rencontres_N3_PN_Rx[Code_JA],Rencontres_N3_PN_Rx[prest],0,0)</f>
        <v>0</v>
      </c>
      <c r="N207" s="19" t="s">
        <v>36</v>
      </c>
      <c r="O207" s="26"/>
      <c r="P207" s="27">
        <f>SUMIF(Rencontres_N3_PN_Rx[Code_JA],tab_JA[[#This Row],[Code]],Rencontres_N3_PN_Rx[Frais_JA])</f>
        <v>0</v>
      </c>
      <c r="W207" s="31" t="str">
        <f>IF(X207&lt;&gt;"",_xlfn.XLOOKUP(X207,tab_JA[Code],tab_JA[N_licence],"so"),"")</f>
        <v/>
      </c>
      <c r="X207" s="32"/>
      <c r="AA207" s="33" t="s">
        <v>2552</v>
      </c>
      <c r="AB207" s="33" t="s">
        <v>2552</v>
      </c>
      <c r="AC207" s="33" t="s">
        <v>2552</v>
      </c>
      <c r="AD207" s="34" t="str">
        <f>IF(X207&lt;&gt;"",SUMIF(Rencontres_N3_PN_Rx[Code_JA],X207,Rencontres_N3_PN_Rx[Frais_JA])-SUMIF(Rencontres_N3_PN_Rx[Code_JA],X207,Rencontres_N3_PN_Rx[frais defiscalisable]),"")</f>
        <v/>
      </c>
      <c r="AE207" s="121" t="str">
        <f>IF(X207&lt;&gt;"",SUMIF(Rencontres_N3_PN_Rx[Code_JA],X207,Rencontres_N3_PN_Rx[frais defiscalisable]),"")</f>
        <v/>
      </c>
    </row>
    <row r="208" spans="1:31" ht="15" customHeight="1" x14ac:dyDescent="0.25">
      <c r="A208" s="19" t="s">
        <v>3321</v>
      </c>
      <c r="B208" s="20" t="s">
        <v>1820</v>
      </c>
      <c r="C208" s="21" t="s">
        <v>1821</v>
      </c>
      <c r="D208" s="21" t="s">
        <v>1503</v>
      </c>
      <c r="E208" s="21" t="s">
        <v>1822</v>
      </c>
      <c r="F208" s="19">
        <v>76220</v>
      </c>
      <c r="G208" s="21" t="s">
        <v>1823</v>
      </c>
      <c r="H208" s="42" t="s">
        <v>1824</v>
      </c>
      <c r="I208" s="43" t="s">
        <v>1825</v>
      </c>
      <c r="J208" s="43"/>
      <c r="K208" s="44" t="s">
        <v>1826</v>
      </c>
      <c r="L208" s="21" t="s">
        <v>1827</v>
      </c>
      <c r="M208" s="19">
        <f>_xlfn.XLOOKUP(tab_JA[[#This Row],[Code]],Rencontres_N3_PN_Rx[Code_JA],Rencontres_N3_PN_Rx[prest],0,0)</f>
        <v>0</v>
      </c>
      <c r="N208" s="19" t="s">
        <v>36</v>
      </c>
      <c r="O208" s="26"/>
      <c r="P208" s="27">
        <f>SUMIF(Rencontres_N3_PN_Rx[Code_JA],tab_JA[[#This Row],[Code]],Rencontres_N3_PN_Rx[Frais_JA])</f>
        <v>0</v>
      </c>
      <c r="W208" s="31" t="str">
        <f>IF(X208&lt;&gt;"",_xlfn.XLOOKUP(X208,tab_JA[Code],tab_JA[N_licence],"so"),"")</f>
        <v/>
      </c>
      <c r="X208" s="32"/>
      <c r="AA208" s="33" t="s">
        <v>2552</v>
      </c>
      <c r="AB208" s="33" t="s">
        <v>2552</v>
      </c>
      <c r="AC208" s="33" t="s">
        <v>2552</v>
      </c>
      <c r="AD208" s="34" t="str">
        <f>IF(X208&lt;&gt;"",SUMIF(Rencontres_N3_PN_Rx[Code_JA],X208,Rencontres_N3_PN_Rx[Frais_JA])-SUMIF(Rencontres_N3_PN_Rx[Code_JA],X208,Rencontres_N3_PN_Rx[frais defiscalisable]),"")</f>
        <v/>
      </c>
      <c r="AE208" s="121" t="str">
        <f>IF(X208&lt;&gt;"",SUMIF(Rencontres_N3_PN_Rx[Code_JA],X208,Rencontres_N3_PN_Rx[frais defiscalisable]),"")</f>
        <v/>
      </c>
    </row>
    <row r="209" spans="1:31" ht="15" customHeight="1" x14ac:dyDescent="0.25">
      <c r="A209" s="19" t="s">
        <v>1851</v>
      </c>
      <c r="B209" s="46" t="s">
        <v>1852</v>
      </c>
      <c r="C209" s="21" t="s">
        <v>1853</v>
      </c>
      <c r="D209" s="21" t="s">
        <v>1854</v>
      </c>
      <c r="E209" s="21" t="s">
        <v>1855</v>
      </c>
      <c r="F209" s="19">
        <v>76350</v>
      </c>
      <c r="G209" s="21" t="s">
        <v>1856</v>
      </c>
      <c r="H209" s="42" t="s">
        <v>1857</v>
      </c>
      <c r="I209" s="43" t="s">
        <v>1858</v>
      </c>
      <c r="J209" s="43" t="s">
        <v>1859</v>
      </c>
      <c r="K209" s="45" t="s">
        <v>775</v>
      </c>
      <c r="L209" s="21" t="s">
        <v>776</v>
      </c>
      <c r="M209" s="19">
        <f>_xlfn.XLOOKUP(tab_JA[[#This Row],[Code]],Rencontres_N3_PN_Rx[Code_JA],Rencontres_N3_PN_Rx[prest],0,0)</f>
        <v>0</v>
      </c>
      <c r="N209" s="19" t="s">
        <v>36</v>
      </c>
      <c r="O209" s="26"/>
      <c r="P209" s="27">
        <f>SUMIF(Rencontres_N3_PN_Rx[Code_JA],tab_JA[[#This Row],[Code]],Rencontres_N3_PN_Rx[Frais_JA])</f>
        <v>0</v>
      </c>
      <c r="W209" s="31" t="str">
        <f>IF(X209&lt;&gt;"",_xlfn.XLOOKUP(X209,tab_JA[Code],tab_JA[N_licence],"so"),"")</f>
        <v/>
      </c>
      <c r="X209" s="32"/>
      <c r="AA209" s="33" t="s">
        <v>2552</v>
      </c>
      <c r="AB209" s="33" t="s">
        <v>2552</v>
      </c>
      <c r="AC209" s="33" t="s">
        <v>2552</v>
      </c>
      <c r="AD209" s="34" t="str">
        <f>IF(X209&lt;&gt;"",SUMIF(Rencontres_N3_PN_Rx[Code_JA],X209,Rencontres_N3_PN_Rx[Frais_JA])-SUMIF(Rencontres_N3_PN_Rx[Code_JA],X209,Rencontres_N3_PN_Rx[frais defiscalisable]),"")</f>
        <v/>
      </c>
      <c r="AE209" s="121" t="str">
        <f>IF(X209&lt;&gt;"",SUMIF(Rencontres_N3_PN_Rx[Code_JA],X209,Rencontres_N3_PN_Rx[frais defiscalisable]),"")</f>
        <v/>
      </c>
    </row>
    <row r="210" spans="1:31" ht="15" customHeight="1" x14ac:dyDescent="0.25">
      <c r="A210" s="19" t="s">
        <v>3324</v>
      </c>
      <c r="B210" s="20" t="s">
        <v>1860</v>
      </c>
      <c r="C210" s="21" t="s">
        <v>1861</v>
      </c>
      <c r="D210" s="21" t="s">
        <v>1862</v>
      </c>
      <c r="E210" s="21" t="s">
        <v>1863</v>
      </c>
      <c r="F210" s="19">
        <v>14200</v>
      </c>
      <c r="G210" s="21" t="s">
        <v>1864</v>
      </c>
      <c r="H210" s="42" t="s">
        <v>1865</v>
      </c>
      <c r="I210" s="43"/>
      <c r="J210" s="43" t="s">
        <v>1866</v>
      </c>
      <c r="K210" s="44" t="s">
        <v>1003</v>
      </c>
      <c r="L210" s="21" t="s">
        <v>1004</v>
      </c>
      <c r="M210" s="19">
        <f>_xlfn.XLOOKUP(tab_JA[[#This Row],[Code]],Rencontres_N3_PN_Rx[Code_JA],Rencontres_N3_PN_Rx[prest],0,0)</f>
        <v>0</v>
      </c>
      <c r="N210" s="19" t="s">
        <v>36</v>
      </c>
      <c r="O210" s="26"/>
      <c r="P210" s="27">
        <f>SUMIF(Rencontres_N3_PN_Rx[Code_JA],tab_JA[[#This Row],[Code]],Rencontres_N3_PN_Rx[Frais_JA])</f>
        <v>0</v>
      </c>
      <c r="W210" s="31" t="str">
        <f>IF(X210&lt;&gt;"",_xlfn.XLOOKUP(X210,tab_JA[Code],tab_JA[N_licence],"so"),"")</f>
        <v/>
      </c>
      <c r="X210" s="32"/>
      <c r="AA210" s="33" t="s">
        <v>2552</v>
      </c>
      <c r="AB210" s="33" t="s">
        <v>2552</v>
      </c>
      <c r="AC210" s="33" t="s">
        <v>2552</v>
      </c>
      <c r="AD210" s="34" t="str">
        <f>IF(X210&lt;&gt;"",SUMIF(Rencontres_N3_PN_Rx[Code_JA],X210,Rencontres_N3_PN_Rx[Frais_JA])-SUMIF(Rencontres_N3_PN_Rx[Code_JA],X210,Rencontres_N3_PN_Rx[frais defiscalisable]),"")</f>
        <v/>
      </c>
      <c r="AE210" s="121" t="str">
        <f>IF(X210&lt;&gt;"",SUMIF(Rencontres_N3_PN_Rx[Code_JA],X210,Rencontres_N3_PN_Rx[frais defiscalisable]),"")</f>
        <v/>
      </c>
    </row>
    <row r="211" spans="1:31" ht="15" customHeight="1" x14ac:dyDescent="0.25">
      <c r="A211" s="19" t="s">
        <v>3323</v>
      </c>
      <c r="B211" s="20" t="s">
        <v>1844</v>
      </c>
      <c r="C211" s="21" t="s">
        <v>1845</v>
      </c>
      <c r="D211" s="21" t="s">
        <v>1846</v>
      </c>
      <c r="E211" s="21" t="s">
        <v>1847</v>
      </c>
      <c r="F211" s="19">
        <v>76140</v>
      </c>
      <c r="G211" s="21" t="s">
        <v>1848</v>
      </c>
      <c r="H211" s="42" t="s">
        <v>1849</v>
      </c>
      <c r="I211" s="43"/>
      <c r="J211" s="43" t="s">
        <v>1850</v>
      </c>
      <c r="K211" s="44" t="s">
        <v>199</v>
      </c>
      <c r="L211" s="21" t="s">
        <v>200</v>
      </c>
      <c r="M211" s="19">
        <f>_xlfn.XLOOKUP(tab_JA[[#This Row],[Code]],Rencontres_N3_PN_Rx[Code_JA],Rencontres_N3_PN_Rx[prest],0,0)</f>
        <v>0</v>
      </c>
      <c r="N211" s="19" t="s">
        <v>36</v>
      </c>
      <c r="O211" s="26"/>
      <c r="P211" s="27">
        <f>SUMIF(Rencontres_N3_PN_Rx[Code_JA],tab_JA[[#This Row],[Code]],Rencontres_N3_PN_Rx[Frais_JA])</f>
        <v>0</v>
      </c>
      <c r="W211" s="31" t="str">
        <f>IF(X211&lt;&gt;"",_xlfn.XLOOKUP(X211,tab_JA[Code],tab_JA[N_licence],"so"),"")</f>
        <v/>
      </c>
      <c r="X211" s="32"/>
      <c r="AA211" s="33" t="s">
        <v>2552</v>
      </c>
      <c r="AB211" s="33" t="s">
        <v>2552</v>
      </c>
      <c r="AC211" s="33" t="s">
        <v>2552</v>
      </c>
      <c r="AD211" s="34" t="str">
        <f>IF(X211&lt;&gt;"",SUMIF(Rencontres_N3_PN_Rx[Code_JA],X211,Rencontres_N3_PN_Rx[Frais_JA])-SUMIF(Rencontres_N3_PN_Rx[Code_JA],X211,Rencontres_N3_PN_Rx[frais defiscalisable]),"")</f>
        <v/>
      </c>
      <c r="AE211" s="121" t="str">
        <f>IF(X211&lt;&gt;"",SUMIF(Rencontres_N3_PN_Rx[Code_JA],X211,Rencontres_N3_PN_Rx[frais defiscalisable]),"")</f>
        <v/>
      </c>
    </row>
    <row r="212" spans="1:31" ht="15" customHeight="1" x14ac:dyDescent="0.25">
      <c r="A212" s="19" t="s">
        <v>3322</v>
      </c>
      <c r="B212" s="20" t="s">
        <v>1836</v>
      </c>
      <c r="C212" s="21" t="s">
        <v>1837</v>
      </c>
      <c r="D212" s="21" t="s">
        <v>1838</v>
      </c>
      <c r="E212" s="21" t="s">
        <v>1839</v>
      </c>
      <c r="F212" s="19">
        <v>14360</v>
      </c>
      <c r="G212" s="21" t="s">
        <v>1840</v>
      </c>
      <c r="H212" s="42" t="s">
        <v>1841</v>
      </c>
      <c r="I212" s="43" t="s">
        <v>1842</v>
      </c>
      <c r="J212" s="43" t="s">
        <v>1843</v>
      </c>
      <c r="K212" s="44" t="s">
        <v>404</v>
      </c>
      <c r="L212" s="21" t="s">
        <v>405</v>
      </c>
      <c r="M212" s="19">
        <f>_xlfn.XLOOKUP(tab_JA[[#This Row],[Code]],Rencontres_N3_PN_Rx[Code_JA],Rencontres_N3_PN_Rx[prest],0,0)</f>
        <v>0</v>
      </c>
      <c r="N212" s="19" t="s">
        <v>36</v>
      </c>
      <c r="O212" s="26"/>
      <c r="P212" s="27">
        <f>SUMIF(Rencontres_N3_PN_Rx[Code_JA],tab_JA[[#This Row],[Code]],Rencontres_N3_PN_Rx[Frais_JA])</f>
        <v>0</v>
      </c>
      <c r="W212" s="31" t="str">
        <f>IF(X212&lt;&gt;"",_xlfn.XLOOKUP(X212,tab_JA[Code],tab_JA[N_licence],"so"),"")</f>
        <v/>
      </c>
      <c r="X212" s="32"/>
      <c r="AA212" s="33" t="s">
        <v>2552</v>
      </c>
      <c r="AB212" s="33" t="s">
        <v>2552</v>
      </c>
      <c r="AC212" s="33" t="s">
        <v>2552</v>
      </c>
      <c r="AD212" s="34" t="str">
        <f>IF(X212&lt;&gt;"",SUMIF(Rencontres_N3_PN_Rx[Code_JA],X212,Rencontres_N3_PN_Rx[Frais_JA])-SUMIF(Rencontres_N3_PN_Rx[Code_JA],X212,Rencontres_N3_PN_Rx[frais defiscalisable]),"")</f>
        <v/>
      </c>
      <c r="AE212" s="121" t="str">
        <f>IF(X212&lt;&gt;"",SUMIF(Rencontres_N3_PN_Rx[Code_JA],X212,Rencontres_N3_PN_Rx[frais defiscalisable]),"")</f>
        <v/>
      </c>
    </row>
    <row r="213" spans="1:31" ht="15" customHeight="1" x14ac:dyDescent="0.25">
      <c r="A213" s="19" t="s">
        <v>3299</v>
      </c>
      <c r="B213" s="20" t="s">
        <v>1462</v>
      </c>
      <c r="C213" s="21" t="s">
        <v>1463</v>
      </c>
      <c r="D213" s="21" t="s">
        <v>438</v>
      </c>
      <c r="E213" s="21" t="s">
        <v>1464</v>
      </c>
      <c r="F213" s="19">
        <v>50200</v>
      </c>
      <c r="G213" s="21" t="s">
        <v>1465</v>
      </c>
      <c r="H213" s="42" t="s">
        <v>1466</v>
      </c>
      <c r="I213" s="43"/>
      <c r="J213" s="43" t="s">
        <v>1467</v>
      </c>
      <c r="K213" s="44" t="s">
        <v>1468</v>
      </c>
      <c r="L213" s="21" t="s">
        <v>1469</v>
      </c>
      <c r="M213" s="19">
        <f>_xlfn.XLOOKUP(tab_JA[[#This Row],[Code]],Rencontres_N3_PN_Rx[Code_JA],Rencontres_N3_PN_Rx[prest],0,0)</f>
        <v>0</v>
      </c>
      <c r="N213" s="19" t="s">
        <v>36</v>
      </c>
      <c r="O213" s="26"/>
      <c r="P213" s="27">
        <f>SUMIF(Rencontres_N3_PN_Rx[Code_JA],tab_JA[[#This Row],[Code]],Rencontres_N3_PN_Rx[Frais_JA])</f>
        <v>0</v>
      </c>
      <c r="W213" s="31" t="str">
        <f>IF(X213&lt;&gt;"",_xlfn.XLOOKUP(X213,tab_JA[Code],tab_JA[N_licence],"so"),"")</f>
        <v/>
      </c>
      <c r="X213" s="32"/>
      <c r="AA213" s="33" t="s">
        <v>2552</v>
      </c>
      <c r="AB213" s="33" t="s">
        <v>2552</v>
      </c>
      <c r="AC213" s="33" t="s">
        <v>2552</v>
      </c>
      <c r="AD213" s="34" t="str">
        <f>IF(X213&lt;&gt;"",SUMIF(Rencontres_N3_PN_Rx[Code_JA],X213,Rencontres_N3_PN_Rx[Frais_JA])-SUMIF(Rencontres_N3_PN_Rx[Code_JA],X213,Rencontres_N3_PN_Rx[frais defiscalisable]),"")</f>
        <v/>
      </c>
      <c r="AE213" s="121" t="str">
        <f>IF(X213&lt;&gt;"",SUMIF(Rencontres_N3_PN_Rx[Code_JA],X213,Rencontres_N3_PN_Rx[frais defiscalisable]),"")</f>
        <v/>
      </c>
    </row>
    <row r="214" spans="1:31" ht="15" customHeight="1" x14ac:dyDescent="0.25">
      <c r="A214" s="19" t="s">
        <v>1867</v>
      </c>
      <c r="B214" s="20" t="s">
        <v>1868</v>
      </c>
      <c r="C214" s="21" t="s">
        <v>1869</v>
      </c>
      <c r="D214" s="21" t="s">
        <v>963</v>
      </c>
      <c r="E214" s="21" t="s">
        <v>1870</v>
      </c>
      <c r="F214" s="19">
        <v>61100</v>
      </c>
      <c r="G214" s="21" t="s">
        <v>1871</v>
      </c>
      <c r="H214" s="42" t="s">
        <v>1872</v>
      </c>
      <c r="I214" s="43" t="s">
        <v>1873</v>
      </c>
      <c r="J214" s="43" t="s">
        <v>1874</v>
      </c>
      <c r="K214" s="44" t="s">
        <v>1875</v>
      </c>
      <c r="L214" s="21" t="s">
        <v>1876</v>
      </c>
      <c r="M214" s="19">
        <f>_xlfn.XLOOKUP(tab_JA[[#This Row],[Code]],Rencontres_N3_PN_Rx[Code_JA],Rencontres_N3_PN_Rx[prest],0,0)</f>
        <v>0</v>
      </c>
      <c r="N214" s="19" t="s">
        <v>36</v>
      </c>
      <c r="O214" s="26"/>
      <c r="P214" s="27">
        <f>SUMIF(Rencontres_N3_PN_Rx[Code_JA],tab_JA[[#This Row],[Code]],Rencontres_N3_PN_Rx[Frais_JA])</f>
        <v>0</v>
      </c>
      <c r="W214" s="31" t="str">
        <f>IF(X214&lt;&gt;"",_xlfn.XLOOKUP(X214,tab_JA[Code],tab_JA[N_licence],"so"),"")</f>
        <v/>
      </c>
      <c r="X214" s="32"/>
      <c r="AA214" s="33" t="s">
        <v>2552</v>
      </c>
      <c r="AB214" s="33" t="s">
        <v>2552</v>
      </c>
      <c r="AC214" s="33" t="s">
        <v>2552</v>
      </c>
      <c r="AD214" s="34" t="str">
        <f>IF(X214&lt;&gt;"",SUMIF(Rencontres_N3_PN_Rx[Code_JA],X214,Rencontres_N3_PN_Rx[Frais_JA])-SUMIF(Rencontres_N3_PN_Rx[Code_JA],X214,Rencontres_N3_PN_Rx[frais defiscalisable]),"")</f>
        <v/>
      </c>
      <c r="AE214" s="121" t="str">
        <f>IF(X214&lt;&gt;"",SUMIF(Rencontres_N3_PN_Rx[Code_JA],X214,Rencontres_N3_PN_Rx[frais defiscalisable]),"")</f>
        <v/>
      </c>
    </row>
    <row r="215" spans="1:31" ht="15" customHeight="1" x14ac:dyDescent="0.25">
      <c r="A215" s="19" t="s">
        <v>1883</v>
      </c>
      <c r="B215" s="20" t="s">
        <v>1884</v>
      </c>
      <c r="C215" s="21" t="s">
        <v>1885</v>
      </c>
      <c r="D215" s="21" t="s">
        <v>1301</v>
      </c>
      <c r="E215" s="21" t="s">
        <v>1886</v>
      </c>
      <c r="F215" s="19">
        <v>76770</v>
      </c>
      <c r="G215" s="21" t="s">
        <v>1887</v>
      </c>
      <c r="H215" s="42" t="s">
        <v>1888</v>
      </c>
      <c r="I215" s="43"/>
      <c r="J215" s="43" t="s">
        <v>1889</v>
      </c>
      <c r="K215" s="44" t="s">
        <v>414</v>
      </c>
      <c r="L215" s="21" t="s">
        <v>415</v>
      </c>
      <c r="M215" s="19">
        <f>_xlfn.XLOOKUP(tab_JA[[#This Row],[Code]],Rencontres_N3_PN_Rx[Code_JA],Rencontres_N3_PN_Rx[prest],0,0)</f>
        <v>0</v>
      </c>
      <c r="N215" s="19" t="s">
        <v>36</v>
      </c>
      <c r="O215" s="26"/>
      <c r="P215" s="27">
        <f>SUMIF(Rencontres_N3_PN_Rx[Code_JA],tab_JA[[#This Row],[Code]],Rencontres_N3_PN_Rx[Frais_JA])</f>
        <v>0</v>
      </c>
      <c r="W215" s="31" t="str">
        <f>IF(X215&lt;&gt;"",_xlfn.XLOOKUP(X215,tab_JA[Code],tab_JA[N_licence],"so"),"")</f>
        <v/>
      </c>
      <c r="X215" s="32"/>
      <c r="AA215" s="33" t="s">
        <v>2552</v>
      </c>
      <c r="AB215" s="33" t="s">
        <v>2552</v>
      </c>
      <c r="AC215" s="33" t="s">
        <v>2552</v>
      </c>
      <c r="AD215" s="34" t="str">
        <f>IF(X215&lt;&gt;"",SUMIF(Rencontres_N3_PN_Rx[Code_JA],X215,Rencontres_N3_PN_Rx[Frais_JA])-SUMIF(Rencontres_N3_PN_Rx[Code_JA],X215,Rencontres_N3_PN_Rx[frais defiscalisable]),"")</f>
        <v/>
      </c>
      <c r="AE215" s="121" t="str">
        <f>IF(X215&lt;&gt;"",SUMIF(Rencontres_N3_PN_Rx[Code_JA],X215,Rencontres_N3_PN_Rx[frais defiscalisable]),"")</f>
        <v/>
      </c>
    </row>
    <row r="216" spans="1:31" ht="15" customHeight="1" x14ac:dyDescent="0.25">
      <c r="A216" s="19" t="s">
        <v>3325</v>
      </c>
      <c r="B216" s="20" t="s">
        <v>1877</v>
      </c>
      <c r="C216" s="21" t="s">
        <v>1869</v>
      </c>
      <c r="D216" s="21" t="s">
        <v>1878</v>
      </c>
      <c r="E216" s="21" t="s">
        <v>1879</v>
      </c>
      <c r="F216" s="19">
        <v>50120</v>
      </c>
      <c r="G216" s="21" t="s">
        <v>1880</v>
      </c>
      <c r="H216" s="42" t="s">
        <v>1881</v>
      </c>
      <c r="I216" s="43"/>
      <c r="J216" s="43" t="s">
        <v>1882</v>
      </c>
      <c r="K216" s="44" t="s">
        <v>2063</v>
      </c>
      <c r="L216" s="21" t="s">
        <v>2064</v>
      </c>
      <c r="M216" s="19">
        <f>_xlfn.XLOOKUP(tab_JA[[#This Row],[Code]],Rencontres_N3_PN_Rx[Code_JA],Rencontres_N3_PN_Rx[prest],0,0)</f>
        <v>7</v>
      </c>
      <c r="N216" s="19" t="s">
        <v>36</v>
      </c>
      <c r="O216" s="26"/>
      <c r="P216" s="27">
        <f>SUMIF(Rencontres_N3_PN_Rx[Code_JA],tab_JA[[#This Row],[Code]],Rencontres_N3_PN_Rx[Frais_JA])</f>
        <v>165.72</v>
      </c>
      <c r="W216" s="31" t="str">
        <f>IF(X216&lt;&gt;"",_xlfn.XLOOKUP(X216,tab_JA[Code],tab_JA[N_licence],"so"),"")</f>
        <v/>
      </c>
      <c r="X216" s="32"/>
      <c r="AA216" s="33" t="s">
        <v>2552</v>
      </c>
      <c r="AB216" s="33" t="s">
        <v>2552</v>
      </c>
      <c r="AC216" s="33" t="s">
        <v>2552</v>
      </c>
      <c r="AD216" s="34" t="str">
        <f>IF(X216&lt;&gt;"",SUMIF(Rencontres_N3_PN_Rx[Code_JA],X216,Rencontres_N3_PN_Rx[Frais_JA])-SUMIF(Rencontres_N3_PN_Rx[Code_JA],X216,Rencontres_N3_PN_Rx[frais defiscalisable]),"")</f>
        <v/>
      </c>
      <c r="AE216" s="121" t="str">
        <f>IF(X216&lt;&gt;"",SUMIF(Rencontres_N3_PN_Rx[Code_JA],X216,Rencontres_N3_PN_Rx[frais defiscalisable]),"")</f>
        <v/>
      </c>
    </row>
    <row r="217" spans="1:31" ht="15" customHeight="1" x14ac:dyDescent="0.25">
      <c r="A217" s="19" t="s">
        <v>1915</v>
      </c>
      <c r="B217" s="20" t="s">
        <v>1916</v>
      </c>
      <c r="C217" s="21" t="s">
        <v>1917</v>
      </c>
      <c r="D217" s="21" t="s">
        <v>877</v>
      </c>
      <c r="E217" s="21" t="s">
        <v>1918</v>
      </c>
      <c r="F217" s="19">
        <v>76850</v>
      </c>
      <c r="G217" s="21" t="s">
        <v>1919</v>
      </c>
      <c r="H217" s="42" t="s">
        <v>1920</v>
      </c>
      <c r="I217" s="43" t="s">
        <v>1921</v>
      </c>
      <c r="J217" s="43" t="s">
        <v>1922</v>
      </c>
      <c r="K217" s="44" t="s">
        <v>1923</v>
      </c>
      <c r="L217" s="21" t="s">
        <v>1924</v>
      </c>
      <c r="M217" s="19">
        <f>_xlfn.XLOOKUP(tab_JA[[#This Row],[Code]],Rencontres_N3_PN_Rx[Code_JA],Rencontres_N3_PN_Rx[prest],0,0)</f>
        <v>0</v>
      </c>
      <c r="N217" s="19" t="s">
        <v>36</v>
      </c>
      <c r="O217" s="26"/>
      <c r="P217" s="27">
        <f>SUMIF(Rencontres_N3_PN_Rx[Code_JA],tab_JA[[#This Row],[Code]],Rencontres_N3_PN_Rx[Frais_JA])</f>
        <v>0</v>
      </c>
      <c r="W217" s="31" t="str">
        <f>IF(X217&lt;&gt;"",_xlfn.XLOOKUP(X217,tab_JA[Code],tab_JA[N_licence],"so"),"")</f>
        <v/>
      </c>
      <c r="X217" s="32"/>
      <c r="AA217" s="33" t="s">
        <v>2552</v>
      </c>
      <c r="AB217" s="33" t="s">
        <v>2552</v>
      </c>
      <c r="AC217" s="33" t="s">
        <v>2552</v>
      </c>
      <c r="AD217" s="34" t="str">
        <f>IF(X217&lt;&gt;"",SUMIF(Rencontres_N3_PN_Rx[Code_JA],X217,Rencontres_N3_PN_Rx[Frais_JA])-SUMIF(Rencontres_N3_PN_Rx[Code_JA],X217,Rencontres_N3_PN_Rx[frais defiscalisable]),"")</f>
        <v/>
      </c>
      <c r="AE217" s="121" t="str">
        <f>IF(X217&lt;&gt;"",SUMIF(Rencontres_N3_PN_Rx[Code_JA],X217,Rencontres_N3_PN_Rx[frais defiscalisable]),"")</f>
        <v/>
      </c>
    </row>
    <row r="218" spans="1:31" ht="15" customHeight="1" x14ac:dyDescent="0.25">
      <c r="A218" s="19" t="s">
        <v>1963</v>
      </c>
      <c r="B218" s="20" t="s">
        <v>1964</v>
      </c>
      <c r="C218" s="21" t="s">
        <v>1965</v>
      </c>
      <c r="D218" s="21" t="s">
        <v>1099</v>
      </c>
      <c r="E218" s="21" t="s">
        <v>1966</v>
      </c>
      <c r="F218" s="19">
        <v>61200</v>
      </c>
      <c r="G218" s="21" t="s">
        <v>1967</v>
      </c>
      <c r="H218" s="42" t="s">
        <v>1968</v>
      </c>
      <c r="I218" s="43" t="s">
        <v>1969</v>
      </c>
      <c r="J218" s="43" t="s">
        <v>1969</v>
      </c>
      <c r="K218" s="44" t="s">
        <v>182</v>
      </c>
      <c r="L218" s="21" t="s">
        <v>183</v>
      </c>
      <c r="M218" s="19">
        <f>_xlfn.XLOOKUP(tab_JA[[#This Row],[Code]],Rencontres_N3_PN_Rx[Code_JA],Rencontres_N3_PN_Rx[prest],0,0)</f>
        <v>0</v>
      </c>
      <c r="N218" s="19" t="s">
        <v>36</v>
      </c>
      <c r="O218" s="26"/>
      <c r="P218" s="27">
        <f>SUMIF(Rencontres_N3_PN_Rx[Code_JA],tab_JA[[#This Row],[Code]],Rencontres_N3_PN_Rx[Frais_JA])</f>
        <v>0</v>
      </c>
      <c r="W218" s="31" t="str">
        <f>IF(X218&lt;&gt;"",_xlfn.XLOOKUP(X218,tab_JA[Code],tab_JA[N_licence],"so"),"")</f>
        <v/>
      </c>
      <c r="X218" s="32"/>
      <c r="AA218" s="33" t="s">
        <v>2552</v>
      </c>
      <c r="AB218" s="33" t="s">
        <v>2552</v>
      </c>
      <c r="AC218" s="33" t="s">
        <v>2552</v>
      </c>
      <c r="AD218" s="34" t="str">
        <f>IF(X218&lt;&gt;"",SUMIF(Rencontres_N3_PN_Rx[Code_JA],X218,Rencontres_N3_PN_Rx[Frais_JA])-SUMIF(Rencontres_N3_PN_Rx[Code_JA],X218,Rencontres_N3_PN_Rx[frais defiscalisable]),"")</f>
        <v/>
      </c>
      <c r="AE218" s="121" t="str">
        <f>IF(X218&lt;&gt;"",SUMIF(Rencontres_N3_PN_Rx[Code_JA],X218,Rencontres_N3_PN_Rx[frais defiscalisable]),"")</f>
        <v/>
      </c>
    </row>
    <row r="219" spans="1:31" ht="15" customHeight="1" x14ac:dyDescent="0.25">
      <c r="A219" s="19" t="s">
        <v>1898</v>
      </c>
      <c r="B219" s="46" t="s">
        <v>1899</v>
      </c>
      <c r="C219" s="21" t="s">
        <v>1900</v>
      </c>
      <c r="D219" s="21" t="s">
        <v>739</v>
      </c>
      <c r="E219" s="21" t="s">
        <v>1901</v>
      </c>
      <c r="F219" s="19">
        <v>76370</v>
      </c>
      <c r="G219" s="21" t="s">
        <v>1902</v>
      </c>
      <c r="H219" s="42" t="s">
        <v>1903</v>
      </c>
      <c r="I219" s="43"/>
      <c r="J219" s="43" t="s">
        <v>1904</v>
      </c>
      <c r="K219" s="45" t="s">
        <v>1094</v>
      </c>
      <c r="L219" s="21" t="s">
        <v>1095</v>
      </c>
      <c r="M219" s="19">
        <f>_xlfn.XLOOKUP(tab_JA[[#This Row],[Code]],Rencontres_N3_PN_Rx[Code_JA],Rencontres_N3_PN_Rx[prest],0,0)</f>
        <v>0</v>
      </c>
      <c r="N219" s="19" t="s">
        <v>36</v>
      </c>
      <c r="O219" s="26"/>
      <c r="P219" s="27">
        <f>SUMIF(Rencontres_N3_PN_Rx[Code_JA],tab_JA[[#This Row],[Code]],Rencontres_N3_PN_Rx[Frais_JA])</f>
        <v>0</v>
      </c>
      <c r="W219" s="31" t="str">
        <f>IF(X219&lt;&gt;"",_xlfn.XLOOKUP(X219,tab_JA[Code],tab_JA[N_licence],"so"),"")</f>
        <v/>
      </c>
      <c r="X219" s="32"/>
      <c r="AA219" s="33" t="s">
        <v>2552</v>
      </c>
      <c r="AB219" s="33" t="s">
        <v>2552</v>
      </c>
      <c r="AC219" s="33" t="s">
        <v>2552</v>
      </c>
      <c r="AD219" s="34" t="str">
        <f>IF(X219&lt;&gt;"",SUMIF(Rencontres_N3_PN_Rx[Code_JA],X219,Rencontres_N3_PN_Rx[Frais_JA])-SUMIF(Rencontres_N3_PN_Rx[Code_JA],X219,Rencontres_N3_PN_Rx[frais defiscalisable]),"")</f>
        <v/>
      </c>
      <c r="AE219" s="121" t="str">
        <f>IF(X219&lt;&gt;"",SUMIF(Rencontres_N3_PN_Rx[Code_JA],X219,Rencontres_N3_PN_Rx[frais defiscalisable]),"")</f>
        <v/>
      </c>
    </row>
    <row r="220" spans="1:31" ht="15" customHeight="1" x14ac:dyDescent="0.25">
      <c r="A220" s="19" t="s">
        <v>1937</v>
      </c>
      <c r="B220" s="20" t="s">
        <v>1938</v>
      </c>
      <c r="C220" s="21" t="s">
        <v>1939</v>
      </c>
      <c r="D220" s="21" t="s">
        <v>438</v>
      </c>
      <c r="E220" s="21" t="s">
        <v>1940</v>
      </c>
      <c r="F220" s="19">
        <v>76000</v>
      </c>
      <c r="G220" s="21" t="s">
        <v>1941</v>
      </c>
      <c r="H220" s="42" t="s">
        <v>1942</v>
      </c>
      <c r="I220" s="43"/>
      <c r="J220" s="43" t="s">
        <v>1943</v>
      </c>
      <c r="K220" s="44" t="s">
        <v>199</v>
      </c>
      <c r="L220" s="21" t="s">
        <v>200</v>
      </c>
      <c r="M220" s="19">
        <f>_xlfn.XLOOKUP(tab_JA[[#This Row],[Code]],Rencontres_N3_PN_Rx[Code_JA],Rencontres_N3_PN_Rx[prest],0,0)</f>
        <v>0</v>
      </c>
      <c r="N220" s="19" t="s">
        <v>36</v>
      </c>
      <c r="O220" s="26"/>
      <c r="P220" s="27">
        <f>SUMIF(Rencontres_N3_PN_Rx[Code_JA],tab_JA[[#This Row],[Code]],Rencontres_N3_PN_Rx[Frais_JA])</f>
        <v>0</v>
      </c>
      <c r="W220" s="31" t="str">
        <f>IF(X220&lt;&gt;"",_xlfn.XLOOKUP(X220,tab_JA[Code],tab_JA[N_licence],"so"),"")</f>
        <v/>
      </c>
      <c r="X220" s="32"/>
      <c r="AA220" s="33" t="s">
        <v>2552</v>
      </c>
      <c r="AB220" s="33" t="s">
        <v>2552</v>
      </c>
      <c r="AC220" s="33" t="s">
        <v>2552</v>
      </c>
      <c r="AD220" s="34" t="str">
        <f>IF(X220&lt;&gt;"",SUMIF(Rencontres_N3_PN_Rx[Code_JA],X220,Rencontres_N3_PN_Rx[Frais_JA])-SUMIF(Rencontres_N3_PN_Rx[Code_JA],X220,Rencontres_N3_PN_Rx[frais defiscalisable]),"")</f>
        <v/>
      </c>
      <c r="AE220" s="121" t="str">
        <f>IF(X220&lt;&gt;"",SUMIF(Rencontres_N3_PN_Rx[Code_JA],X220,Rencontres_N3_PN_Rx[frais defiscalisable]),"")</f>
        <v/>
      </c>
    </row>
    <row r="221" spans="1:31" ht="15" customHeight="1" x14ac:dyDescent="0.25">
      <c r="A221" s="19" t="s">
        <v>1905</v>
      </c>
      <c r="B221" s="20" t="s">
        <v>1906</v>
      </c>
      <c r="C221" s="21" t="s">
        <v>1907</v>
      </c>
      <c r="D221" s="21" t="s">
        <v>1908</v>
      </c>
      <c r="E221" s="21" t="s">
        <v>1909</v>
      </c>
      <c r="F221" s="19">
        <v>14590</v>
      </c>
      <c r="G221" s="21" t="s">
        <v>1910</v>
      </c>
      <c r="H221" s="42" t="s">
        <v>1911</v>
      </c>
      <c r="I221" s="43"/>
      <c r="J221" s="43" t="s">
        <v>1912</v>
      </c>
      <c r="K221" s="44" t="s">
        <v>1913</v>
      </c>
      <c r="L221" s="21" t="s">
        <v>1914</v>
      </c>
      <c r="M221" s="19">
        <f>_xlfn.XLOOKUP(tab_JA[[#This Row],[Code]],Rencontres_N3_PN_Rx[Code_JA],Rencontres_N3_PN_Rx[prest],0,0)</f>
        <v>0</v>
      </c>
      <c r="N221" s="19" t="s">
        <v>36</v>
      </c>
      <c r="O221" s="26"/>
      <c r="P221" s="27">
        <f>SUMIF(Rencontres_N3_PN_Rx[Code_JA],tab_JA[[#This Row],[Code]],Rencontres_N3_PN_Rx[Frais_JA])</f>
        <v>0</v>
      </c>
      <c r="W221" s="31" t="str">
        <f>IF(X221&lt;&gt;"",_xlfn.XLOOKUP(X221,tab_JA[Code],tab_JA[N_licence],"so"),"")</f>
        <v/>
      </c>
      <c r="X221" s="32"/>
      <c r="AA221" s="33" t="s">
        <v>2552</v>
      </c>
      <c r="AB221" s="33" t="s">
        <v>2552</v>
      </c>
      <c r="AC221" s="33" t="s">
        <v>2552</v>
      </c>
      <c r="AD221" s="34" t="str">
        <f>IF(X221&lt;&gt;"",SUMIF(Rencontres_N3_PN_Rx[Code_JA],X221,Rencontres_N3_PN_Rx[Frais_JA])-SUMIF(Rencontres_N3_PN_Rx[Code_JA],X221,Rencontres_N3_PN_Rx[frais defiscalisable]),"")</f>
        <v/>
      </c>
      <c r="AE221" s="121" t="str">
        <f>IF(X221&lt;&gt;"",SUMIF(Rencontres_N3_PN_Rx[Code_JA],X221,Rencontres_N3_PN_Rx[frais defiscalisable]),"")</f>
        <v/>
      </c>
    </row>
    <row r="222" spans="1:31" ht="15" customHeight="1" x14ac:dyDescent="0.25">
      <c r="A222" s="19" t="s">
        <v>1944</v>
      </c>
      <c r="B222" s="20" t="s">
        <v>1945</v>
      </c>
      <c r="C222" s="21" t="s">
        <v>1946</v>
      </c>
      <c r="D222" s="21" t="s">
        <v>1947</v>
      </c>
      <c r="E222" s="21" t="s">
        <v>1948</v>
      </c>
      <c r="F222" s="19">
        <v>76430</v>
      </c>
      <c r="G222" s="21" t="s">
        <v>1949</v>
      </c>
      <c r="H222" s="42" t="s">
        <v>1950</v>
      </c>
      <c r="I222" s="43" t="s">
        <v>1951</v>
      </c>
      <c r="J222" s="43" t="s">
        <v>1952</v>
      </c>
      <c r="K222" s="44" t="s">
        <v>1339</v>
      </c>
      <c r="L222" s="21" t="s">
        <v>1340</v>
      </c>
      <c r="M222" s="19">
        <f>_xlfn.XLOOKUP(tab_JA[[#This Row],[Code]],Rencontres_N3_PN_Rx[Code_JA],Rencontres_N3_PN_Rx[prest],0,0)</f>
        <v>0</v>
      </c>
      <c r="N222" s="19" t="s">
        <v>36</v>
      </c>
      <c r="O222" s="26"/>
      <c r="P222" s="27">
        <f>SUMIF(Rencontres_N3_PN_Rx[Code_JA],tab_JA[[#This Row],[Code]],Rencontres_N3_PN_Rx[Frais_JA])</f>
        <v>0</v>
      </c>
      <c r="W222" s="31" t="str">
        <f>IF(X222&lt;&gt;"",_xlfn.XLOOKUP(X222,tab_JA[Code],tab_JA[N_licence],"so"),"")</f>
        <v/>
      </c>
      <c r="X222" s="32"/>
      <c r="AA222" s="33" t="s">
        <v>2552</v>
      </c>
      <c r="AB222" s="33" t="s">
        <v>2552</v>
      </c>
      <c r="AC222" s="33" t="s">
        <v>2552</v>
      </c>
      <c r="AD222" s="34" t="str">
        <f>IF(X222&lt;&gt;"",SUMIF(Rencontres_N3_PN_Rx[Code_JA],X222,Rencontres_N3_PN_Rx[Frais_JA])-SUMIF(Rencontres_N3_PN_Rx[Code_JA],X222,Rencontres_N3_PN_Rx[frais defiscalisable]),"")</f>
        <v/>
      </c>
      <c r="AE222" s="121" t="str">
        <f>IF(X222&lt;&gt;"",SUMIF(Rencontres_N3_PN_Rx[Code_JA],X222,Rencontres_N3_PN_Rx[frais defiscalisable]),"")</f>
        <v/>
      </c>
    </row>
    <row r="223" spans="1:31" ht="15" customHeight="1" x14ac:dyDescent="0.25">
      <c r="A223" s="19" t="s">
        <v>1931</v>
      </c>
      <c r="B223" s="46" t="s">
        <v>1932</v>
      </c>
      <c r="C223" s="21" t="s">
        <v>1933</v>
      </c>
      <c r="D223" s="21" t="s">
        <v>1138</v>
      </c>
      <c r="E223" s="21" t="s">
        <v>1934</v>
      </c>
      <c r="F223" s="19">
        <v>76100</v>
      </c>
      <c r="G223" s="21" t="s">
        <v>411</v>
      </c>
      <c r="H223" s="42" t="s">
        <v>1935</v>
      </c>
      <c r="I223" s="43" t="s">
        <v>1936</v>
      </c>
      <c r="J223" s="43" t="s">
        <v>1936</v>
      </c>
      <c r="K223" s="45" t="s">
        <v>117</v>
      </c>
      <c r="L223" s="21" t="s">
        <v>118</v>
      </c>
      <c r="M223" s="19">
        <f>_xlfn.XLOOKUP(tab_JA[[#This Row],[Code]],Rencontres_N3_PN_Rx[Code_JA],Rencontres_N3_PN_Rx[prest],0,0)</f>
        <v>0</v>
      </c>
      <c r="N223" s="19" t="s">
        <v>36</v>
      </c>
      <c r="O223" s="26"/>
      <c r="P223" s="27">
        <f>SUMIF(Rencontres_N3_PN_Rx[Code_JA],tab_JA[[#This Row],[Code]],Rencontres_N3_PN_Rx[Frais_JA])</f>
        <v>0</v>
      </c>
      <c r="W223" s="31" t="str">
        <f>IF(X223&lt;&gt;"",_xlfn.XLOOKUP(X223,tab_JA[Code],tab_JA[N_licence],"so"),"")</f>
        <v/>
      </c>
      <c r="X223" s="32"/>
      <c r="AA223" s="33" t="s">
        <v>2552</v>
      </c>
      <c r="AB223" s="33" t="s">
        <v>2552</v>
      </c>
      <c r="AC223" s="33" t="s">
        <v>2552</v>
      </c>
      <c r="AD223" s="34" t="str">
        <f>IF(X223&lt;&gt;"",SUMIF(Rencontres_N3_PN_Rx[Code_JA],X223,Rencontres_N3_PN_Rx[Frais_JA])-SUMIF(Rencontres_N3_PN_Rx[Code_JA],X223,Rencontres_N3_PN_Rx[frais defiscalisable]),"")</f>
        <v/>
      </c>
      <c r="AE223" s="121" t="str">
        <f>IF(X223&lt;&gt;"",SUMIF(Rencontres_N3_PN_Rx[Code_JA],X223,Rencontres_N3_PN_Rx[frais defiscalisable]),"")</f>
        <v/>
      </c>
    </row>
    <row r="224" spans="1:31" ht="15" customHeight="1" x14ac:dyDescent="0.25">
      <c r="A224" s="19" t="s">
        <v>1953</v>
      </c>
      <c r="B224" s="20" t="s">
        <v>1954</v>
      </c>
      <c r="C224" s="21" t="s">
        <v>1955</v>
      </c>
      <c r="D224" s="21" t="s">
        <v>526</v>
      </c>
      <c r="E224" s="21" t="s">
        <v>1956</v>
      </c>
      <c r="F224" s="19">
        <v>50710</v>
      </c>
      <c r="G224" s="21" t="s">
        <v>1957</v>
      </c>
      <c r="H224" s="42" t="s">
        <v>1958</v>
      </c>
      <c r="I224" s="43" t="s">
        <v>1959</v>
      </c>
      <c r="J224" s="43" t="s">
        <v>1960</v>
      </c>
      <c r="K224" s="44" t="s">
        <v>1961</v>
      </c>
      <c r="L224" s="21" t="s">
        <v>1962</v>
      </c>
      <c r="M224" s="19">
        <f>_xlfn.XLOOKUP(tab_JA[[#This Row],[Code]],Rencontres_N3_PN_Rx[Code_JA],Rencontres_N3_PN_Rx[prest],0,0)</f>
        <v>2</v>
      </c>
      <c r="N224" s="19" t="s">
        <v>36</v>
      </c>
      <c r="O224" s="26"/>
      <c r="P224" s="27">
        <f>SUMIF(Rencontres_N3_PN_Rx[Code_JA],tab_JA[[#This Row],[Code]],Rencontres_N3_PN_Rx[Frais_JA])</f>
        <v>0</v>
      </c>
      <c r="W224" s="31" t="str">
        <f>IF(X224&lt;&gt;"",_xlfn.XLOOKUP(X224,tab_JA[Code],tab_JA[N_licence],"so"),"")</f>
        <v/>
      </c>
      <c r="X224" s="32"/>
      <c r="AA224" s="33" t="s">
        <v>2552</v>
      </c>
      <c r="AB224" s="33" t="s">
        <v>2552</v>
      </c>
      <c r="AC224" s="33" t="s">
        <v>2552</v>
      </c>
      <c r="AD224" s="34" t="str">
        <f>IF(X224&lt;&gt;"",SUMIF(Rencontres_N3_PN_Rx[Code_JA],X224,Rencontres_N3_PN_Rx[Frais_JA])-SUMIF(Rencontres_N3_PN_Rx[Code_JA],X224,Rencontres_N3_PN_Rx[frais defiscalisable]),"")</f>
        <v/>
      </c>
      <c r="AE224" s="121" t="str">
        <f>IF(X224&lt;&gt;"",SUMIF(Rencontres_N3_PN_Rx[Code_JA],X224,Rencontres_N3_PN_Rx[frais defiscalisable]),"")</f>
        <v/>
      </c>
    </row>
    <row r="225" spans="1:31" ht="15" customHeight="1" x14ac:dyDescent="0.25">
      <c r="A225" s="19" t="s">
        <v>1890</v>
      </c>
      <c r="B225" s="20" t="s">
        <v>1891</v>
      </c>
      <c r="C225" s="21" t="s">
        <v>1892</v>
      </c>
      <c r="D225" s="21" t="s">
        <v>1481</v>
      </c>
      <c r="E225" s="21" t="s">
        <v>1893</v>
      </c>
      <c r="F225" s="19">
        <v>14390</v>
      </c>
      <c r="G225" s="21" t="s">
        <v>1894</v>
      </c>
      <c r="H225" s="42" t="s">
        <v>1895</v>
      </c>
      <c r="I225" s="43" t="s">
        <v>1896</v>
      </c>
      <c r="J225" s="43" t="s">
        <v>1897</v>
      </c>
      <c r="K225" s="44" t="s">
        <v>864</v>
      </c>
      <c r="L225" s="21" t="s">
        <v>865</v>
      </c>
      <c r="M225" s="19">
        <f>_xlfn.XLOOKUP(tab_JA[[#This Row],[Code]],Rencontres_N3_PN_Rx[Code_JA],Rencontres_N3_PN_Rx[prest],0,0)</f>
        <v>0</v>
      </c>
      <c r="N225" s="19" t="s">
        <v>36</v>
      </c>
      <c r="O225" s="26"/>
      <c r="P225" s="27">
        <f>SUMIF(Rencontres_N3_PN_Rx[Code_JA],tab_JA[[#This Row],[Code]],Rencontres_N3_PN_Rx[Frais_JA])</f>
        <v>0</v>
      </c>
      <c r="W225" s="31" t="str">
        <f>IF(X225&lt;&gt;"",_xlfn.XLOOKUP(X225,tab_JA[Code],tab_JA[N_licence],"so"),"")</f>
        <v/>
      </c>
      <c r="X225" s="32"/>
      <c r="AA225" s="33" t="s">
        <v>2552</v>
      </c>
      <c r="AB225" s="33" t="s">
        <v>2552</v>
      </c>
      <c r="AC225" s="33" t="s">
        <v>2552</v>
      </c>
      <c r="AD225" s="34" t="str">
        <f>IF(X225&lt;&gt;"",SUMIF(Rencontres_N3_PN_Rx[Code_JA],X225,Rencontres_N3_PN_Rx[Frais_JA])-SUMIF(Rencontres_N3_PN_Rx[Code_JA],X225,Rencontres_N3_PN_Rx[frais defiscalisable]),"")</f>
        <v/>
      </c>
      <c r="AE225" s="121" t="str">
        <f>IF(X225&lt;&gt;"",SUMIF(Rencontres_N3_PN_Rx[Code_JA],X225,Rencontres_N3_PN_Rx[frais defiscalisable]),"")</f>
        <v/>
      </c>
    </row>
    <row r="226" spans="1:31" ht="15" customHeight="1" x14ac:dyDescent="0.25">
      <c r="A226" s="19" t="s">
        <v>3326</v>
      </c>
      <c r="B226" s="20" t="s">
        <v>1925</v>
      </c>
      <c r="C226" s="21" t="s">
        <v>1926</v>
      </c>
      <c r="D226" s="21" t="s">
        <v>1927</v>
      </c>
      <c r="E226" s="21" t="s">
        <v>1771</v>
      </c>
      <c r="F226" s="19">
        <v>61400</v>
      </c>
      <c r="G226" s="21" t="s">
        <v>1928</v>
      </c>
      <c r="H226" s="42" t="s">
        <v>1929</v>
      </c>
      <c r="I226" s="43"/>
      <c r="J226" s="43" t="s">
        <v>1930</v>
      </c>
      <c r="K226" s="44" t="s">
        <v>433</v>
      </c>
      <c r="L226" s="21" t="s">
        <v>434</v>
      </c>
      <c r="M226" s="19">
        <f>_xlfn.XLOOKUP(tab_JA[[#This Row],[Code]],Rencontres_N3_PN_Rx[Code_JA],Rencontres_N3_PN_Rx[prest],0,0)</f>
        <v>0</v>
      </c>
      <c r="N226" s="19" t="s">
        <v>36</v>
      </c>
      <c r="O226" s="26"/>
      <c r="P226" s="27">
        <f>SUMIF(Rencontres_N3_PN_Rx[Code_JA],tab_JA[[#This Row],[Code]],Rencontres_N3_PN_Rx[Frais_JA])</f>
        <v>0</v>
      </c>
      <c r="W226" s="31" t="str">
        <f>IF(X226&lt;&gt;"",_xlfn.XLOOKUP(X226,tab_JA[Code],tab_JA[N_licence],"so"),"")</f>
        <v/>
      </c>
      <c r="X226" s="32"/>
      <c r="AA226" s="33" t="s">
        <v>2552</v>
      </c>
      <c r="AB226" s="33" t="s">
        <v>2552</v>
      </c>
      <c r="AC226" s="33" t="s">
        <v>2552</v>
      </c>
      <c r="AD226" s="34" t="str">
        <f>IF(X226&lt;&gt;"",SUMIF(Rencontres_N3_PN_Rx[Code_JA],X226,Rencontres_N3_PN_Rx[Frais_JA])-SUMIF(Rencontres_N3_PN_Rx[Code_JA],X226,Rencontres_N3_PN_Rx[frais defiscalisable]),"")</f>
        <v/>
      </c>
      <c r="AE226" s="121" t="str">
        <f>IF(X226&lt;&gt;"",SUMIF(Rencontres_N3_PN_Rx[Code_JA],X226,Rencontres_N3_PN_Rx[frais defiscalisable]),"")</f>
        <v/>
      </c>
    </row>
    <row r="227" spans="1:31" ht="15" customHeight="1" x14ac:dyDescent="0.25">
      <c r="A227" s="19" t="s">
        <v>1970</v>
      </c>
      <c r="B227" s="20" t="s">
        <v>1971</v>
      </c>
      <c r="C227" s="21" t="s">
        <v>1972</v>
      </c>
      <c r="D227" s="21" t="s">
        <v>204</v>
      </c>
      <c r="E227" s="21" t="s">
        <v>1973</v>
      </c>
      <c r="F227" s="19">
        <v>27930</v>
      </c>
      <c r="G227" s="21" t="s">
        <v>1974</v>
      </c>
      <c r="H227" s="42" t="s">
        <v>1975</v>
      </c>
      <c r="I227" s="43"/>
      <c r="J227" s="43" t="s">
        <v>1976</v>
      </c>
      <c r="K227" s="44" t="s">
        <v>77</v>
      </c>
      <c r="L227" s="21" t="s">
        <v>78</v>
      </c>
      <c r="M227" s="19">
        <f>_xlfn.XLOOKUP(tab_JA[[#This Row],[Code]],Rencontres_N3_PN_Rx[Code_JA],Rencontres_N3_PN_Rx[prest],0,0)</f>
        <v>0</v>
      </c>
      <c r="N227" s="19" t="s">
        <v>36</v>
      </c>
      <c r="O227" s="26"/>
      <c r="P227" s="27">
        <f>SUMIF(Rencontres_N3_PN_Rx[Code_JA],tab_JA[[#This Row],[Code]],Rencontres_N3_PN_Rx[Frais_JA])</f>
        <v>0</v>
      </c>
      <c r="W227" s="31" t="str">
        <f>IF(X227&lt;&gt;"",_xlfn.XLOOKUP(X227,tab_JA[Code],tab_JA[N_licence],"so"),"")</f>
        <v/>
      </c>
      <c r="X227" s="32"/>
      <c r="AA227" s="33" t="s">
        <v>2552</v>
      </c>
      <c r="AB227" s="33" t="s">
        <v>2552</v>
      </c>
      <c r="AC227" s="33" t="s">
        <v>2552</v>
      </c>
      <c r="AD227" s="34" t="str">
        <f>IF(X227&lt;&gt;"",SUMIF(Rencontres_N3_PN_Rx[Code_JA],X227,Rencontres_N3_PN_Rx[Frais_JA])-SUMIF(Rencontres_N3_PN_Rx[Code_JA],X227,Rencontres_N3_PN_Rx[frais defiscalisable]),"")</f>
        <v/>
      </c>
      <c r="AE227" s="121" t="str">
        <f>IF(X227&lt;&gt;"",SUMIF(Rencontres_N3_PN_Rx[Code_JA],X227,Rencontres_N3_PN_Rx[frais defiscalisable]),"")</f>
        <v/>
      </c>
    </row>
    <row r="228" spans="1:31" ht="15" customHeight="1" x14ac:dyDescent="0.25">
      <c r="A228" s="19" t="s">
        <v>1977</v>
      </c>
      <c r="B228" s="20" t="s">
        <v>1978</v>
      </c>
      <c r="C228" s="21" t="s">
        <v>1979</v>
      </c>
      <c r="D228" s="21" t="s">
        <v>963</v>
      </c>
      <c r="E228" s="21" t="s">
        <v>1980</v>
      </c>
      <c r="F228" s="19">
        <v>14230</v>
      </c>
      <c r="G228" s="21" t="s">
        <v>1981</v>
      </c>
      <c r="H228" s="42" t="s">
        <v>1982</v>
      </c>
      <c r="I228" s="43" t="s">
        <v>1983</v>
      </c>
      <c r="J228" s="43" t="s">
        <v>1984</v>
      </c>
      <c r="K228" s="44" t="s">
        <v>1985</v>
      </c>
      <c r="L228" s="21" t="s">
        <v>1986</v>
      </c>
      <c r="M228" s="19">
        <f>_xlfn.XLOOKUP(tab_JA[[#This Row],[Code]],Rencontres_N3_PN_Rx[Code_JA],Rencontres_N3_PN_Rx[prest],0,0)</f>
        <v>0</v>
      </c>
      <c r="N228" s="19" t="s">
        <v>36</v>
      </c>
      <c r="O228" s="26"/>
      <c r="P228" s="27">
        <f>SUMIF(Rencontres_N3_PN_Rx[Code_JA],tab_JA[[#This Row],[Code]],Rencontres_N3_PN_Rx[Frais_JA])</f>
        <v>0</v>
      </c>
      <c r="W228" s="31" t="str">
        <f>IF(X228&lt;&gt;"",_xlfn.XLOOKUP(X228,tab_JA[Code],tab_JA[N_licence],"so"),"")</f>
        <v/>
      </c>
      <c r="X228" s="32"/>
      <c r="AA228" s="33" t="s">
        <v>2552</v>
      </c>
      <c r="AB228" s="33" t="s">
        <v>2552</v>
      </c>
      <c r="AC228" s="33" t="s">
        <v>2552</v>
      </c>
      <c r="AD228" s="34" t="str">
        <f>IF(X228&lt;&gt;"",SUMIF(Rencontres_N3_PN_Rx[Code_JA],X228,Rencontres_N3_PN_Rx[Frais_JA])-SUMIF(Rencontres_N3_PN_Rx[Code_JA],X228,Rencontres_N3_PN_Rx[frais defiscalisable]),"")</f>
        <v/>
      </c>
      <c r="AE228" s="121" t="str">
        <f>IF(X228&lt;&gt;"",SUMIF(Rencontres_N3_PN_Rx[Code_JA],X228,Rencontres_N3_PN_Rx[frais defiscalisable]),"")</f>
        <v/>
      </c>
    </row>
    <row r="229" spans="1:31" ht="15" customHeight="1" x14ac:dyDescent="0.25">
      <c r="A229" s="19" t="s">
        <v>1995</v>
      </c>
      <c r="B229" s="20" t="s">
        <v>1996</v>
      </c>
      <c r="C229" s="21" t="s">
        <v>1997</v>
      </c>
      <c r="D229" s="21" t="s">
        <v>1998</v>
      </c>
      <c r="E229" s="21" t="s">
        <v>1999</v>
      </c>
      <c r="F229" s="19">
        <v>76130</v>
      </c>
      <c r="G229" s="21" t="s">
        <v>2000</v>
      </c>
      <c r="H229" s="42" t="s">
        <v>2001</v>
      </c>
      <c r="I229" s="43" t="s">
        <v>2002</v>
      </c>
      <c r="J229" s="43" t="s">
        <v>2003</v>
      </c>
      <c r="K229" s="44" t="s">
        <v>117</v>
      </c>
      <c r="L229" s="21" t="s">
        <v>118</v>
      </c>
      <c r="M229" s="19">
        <f>_xlfn.XLOOKUP(tab_JA[[#This Row],[Code]],Rencontres_N3_PN_Rx[Code_JA],Rencontres_N3_PN_Rx[prest],0,0)</f>
        <v>0</v>
      </c>
      <c r="N229" s="19" t="s">
        <v>36</v>
      </c>
      <c r="P229" s="27">
        <f>SUMIF(Rencontres_N3_PN_Rx[Code_JA],tab_JA[[#This Row],[Code]],Rencontres_N3_PN_Rx[Frais_JA])</f>
        <v>0</v>
      </c>
      <c r="W229" s="31" t="str">
        <f>IF(X229&lt;&gt;"",_xlfn.XLOOKUP(X229,tab_JA[Code],tab_JA[N_licence],"so"),"")</f>
        <v/>
      </c>
      <c r="X229" s="32"/>
      <c r="AA229" s="33" t="s">
        <v>2552</v>
      </c>
      <c r="AB229" s="33" t="s">
        <v>2552</v>
      </c>
      <c r="AC229" s="33" t="s">
        <v>2552</v>
      </c>
      <c r="AD229" s="34" t="str">
        <f>IF(X229&lt;&gt;"",SUMIF(Rencontres_N3_PN_Rx[Code_JA],X229,Rencontres_N3_PN_Rx[Frais_JA])-SUMIF(Rencontres_N3_PN_Rx[Code_JA],X229,Rencontres_N3_PN_Rx[frais defiscalisable]),"")</f>
        <v/>
      </c>
      <c r="AE229" s="121" t="str">
        <f>IF(X229&lt;&gt;"",SUMIF(Rencontres_N3_PN_Rx[Code_JA],X229,Rencontres_N3_PN_Rx[frais defiscalisable]),"")</f>
        <v/>
      </c>
    </row>
    <row r="230" spans="1:31" ht="15" customHeight="1" x14ac:dyDescent="0.25">
      <c r="A230" s="19" t="s">
        <v>3327</v>
      </c>
      <c r="B230" s="46" t="s">
        <v>1987</v>
      </c>
      <c r="C230" s="21" t="s">
        <v>1988</v>
      </c>
      <c r="D230" s="21" t="s">
        <v>1989</v>
      </c>
      <c r="E230" s="21" t="s">
        <v>1990</v>
      </c>
      <c r="F230" s="19">
        <v>61400</v>
      </c>
      <c r="G230" s="21" t="s">
        <v>1991</v>
      </c>
      <c r="H230" s="42" t="s">
        <v>1992</v>
      </c>
      <c r="I230" s="43" t="s">
        <v>1993</v>
      </c>
      <c r="J230" s="43" t="s">
        <v>1994</v>
      </c>
      <c r="K230" s="45" t="s">
        <v>433</v>
      </c>
      <c r="L230" s="21" t="s">
        <v>434</v>
      </c>
      <c r="M230" s="19">
        <f>_xlfn.XLOOKUP(tab_JA[[#This Row],[Code]],Rencontres_N3_PN_Rx[Code_JA],Rencontres_N3_PN_Rx[prest],0,0)</f>
        <v>0</v>
      </c>
      <c r="N230" s="19" t="s">
        <v>36</v>
      </c>
      <c r="P230" s="27">
        <f>SUMIF(Rencontres_N3_PN_Rx[Code_JA],tab_JA[[#This Row],[Code]],Rencontres_N3_PN_Rx[Frais_JA])</f>
        <v>0</v>
      </c>
      <c r="W230" s="31" t="str">
        <f>IF(X230&lt;&gt;"",_xlfn.XLOOKUP(X230,tab_JA[Code],tab_JA[N_licence],"so"),"")</f>
        <v/>
      </c>
      <c r="X230" s="32"/>
      <c r="AA230" s="33" t="s">
        <v>2552</v>
      </c>
      <c r="AB230" s="33" t="s">
        <v>2552</v>
      </c>
      <c r="AC230" s="33" t="s">
        <v>2552</v>
      </c>
      <c r="AD230" s="34" t="str">
        <f>IF(X230&lt;&gt;"",SUMIF(Rencontres_N3_PN_Rx[Code_JA],X230,Rencontres_N3_PN_Rx[Frais_JA])-SUMIF(Rencontres_N3_PN_Rx[Code_JA],X230,Rencontres_N3_PN_Rx[frais defiscalisable]),"")</f>
        <v/>
      </c>
      <c r="AE230" s="121" t="str">
        <f>IF(X230&lt;&gt;"",SUMIF(Rencontres_N3_PN_Rx[Code_JA],X230,Rencontres_N3_PN_Rx[frais defiscalisable]),"")</f>
        <v/>
      </c>
    </row>
    <row r="231" spans="1:31" ht="15" customHeight="1" x14ac:dyDescent="0.25">
      <c r="A231" s="19" t="s">
        <v>2004</v>
      </c>
      <c r="B231" s="20" t="s">
        <v>2005</v>
      </c>
      <c r="C231" s="21" t="s">
        <v>2006</v>
      </c>
      <c r="D231" s="21" t="s">
        <v>463</v>
      </c>
      <c r="E231" s="21" t="s">
        <v>2007</v>
      </c>
      <c r="F231" s="19">
        <v>50560</v>
      </c>
      <c r="G231" s="21" t="s">
        <v>1638</v>
      </c>
      <c r="H231" s="42" t="s">
        <v>2008</v>
      </c>
      <c r="I231" s="43" t="s">
        <v>2009</v>
      </c>
      <c r="J231" s="43" t="s">
        <v>2010</v>
      </c>
      <c r="K231" s="44" t="s">
        <v>98</v>
      </c>
      <c r="L231" s="21" t="s">
        <v>99</v>
      </c>
      <c r="M231" s="19">
        <f>_xlfn.XLOOKUP(tab_JA[[#This Row],[Code]],Rencontres_N3_PN_Rx[Code_JA],Rencontres_N3_PN_Rx[prest],0,0)</f>
        <v>1</v>
      </c>
      <c r="N231" s="19" t="s">
        <v>36</v>
      </c>
      <c r="P231" s="27">
        <f>SUMIF(Rencontres_N3_PN_Rx[Code_JA],tab_JA[[#This Row],[Code]],Rencontres_N3_PN_Rx[Frais_JA])</f>
        <v>0</v>
      </c>
      <c r="W231" s="31" t="str">
        <f>IF(X231&lt;&gt;"",_xlfn.XLOOKUP(X231,tab_JA[Code],tab_JA[N_licence],"so"),"")</f>
        <v/>
      </c>
      <c r="X231" s="32"/>
      <c r="AA231" s="33" t="s">
        <v>2552</v>
      </c>
      <c r="AB231" s="33" t="s">
        <v>2552</v>
      </c>
      <c r="AC231" s="33" t="s">
        <v>2552</v>
      </c>
      <c r="AD231" s="34" t="str">
        <f>IF(X231&lt;&gt;"",SUMIF(Rencontres_N3_PN_Rx[Code_JA],X231,Rencontres_N3_PN_Rx[Frais_JA])-SUMIF(Rencontres_N3_PN_Rx[Code_JA],X231,Rencontres_N3_PN_Rx[frais defiscalisable]),"")</f>
        <v/>
      </c>
      <c r="AE231" s="121" t="str">
        <f>IF(X231&lt;&gt;"",SUMIF(Rencontres_N3_PN_Rx[Code_JA],X231,Rencontres_N3_PN_Rx[frais defiscalisable]),"")</f>
        <v/>
      </c>
    </row>
    <row r="232" spans="1:31" ht="15" customHeight="1" x14ac:dyDescent="0.25">
      <c r="A232" s="19" t="s">
        <v>2011</v>
      </c>
      <c r="B232" s="20" t="s">
        <v>2012</v>
      </c>
      <c r="C232" s="21" t="s">
        <v>2013</v>
      </c>
      <c r="D232" s="21" t="s">
        <v>463</v>
      </c>
      <c r="E232" s="21" t="s">
        <v>2014</v>
      </c>
      <c r="F232" s="19">
        <v>50530</v>
      </c>
      <c r="G232" s="21" t="s">
        <v>2015</v>
      </c>
      <c r="H232" s="42" t="s">
        <v>2016</v>
      </c>
      <c r="I232" s="43"/>
      <c r="J232" s="43" t="s">
        <v>2017</v>
      </c>
      <c r="K232" s="44" t="s">
        <v>189</v>
      </c>
      <c r="L232" s="21" t="s">
        <v>190</v>
      </c>
      <c r="M232" s="19">
        <f>_xlfn.XLOOKUP(tab_JA[[#This Row],[Code]],Rencontres_N3_PN_Rx[Code_JA],Rencontres_N3_PN_Rx[prest],0,0)</f>
        <v>0</v>
      </c>
      <c r="N232" s="19" t="s">
        <v>36</v>
      </c>
      <c r="P232" s="27">
        <f>SUMIF(Rencontres_N3_PN_Rx[Code_JA],tab_JA[[#This Row],[Code]],Rencontres_N3_PN_Rx[Frais_JA])</f>
        <v>0</v>
      </c>
      <c r="W232" s="31" t="str">
        <f>IF(X232&lt;&gt;"",_xlfn.XLOOKUP(X232,tab_JA[Code],tab_JA[N_licence],"so"),"")</f>
        <v/>
      </c>
      <c r="X232" s="32"/>
      <c r="AA232" s="33" t="s">
        <v>2552</v>
      </c>
      <c r="AB232" s="33" t="s">
        <v>2552</v>
      </c>
      <c r="AC232" s="33" t="s">
        <v>2552</v>
      </c>
      <c r="AD232" s="34" t="str">
        <f>IF(X232&lt;&gt;"",SUMIF(Rencontres_N3_PN_Rx[Code_JA],X232,Rencontres_N3_PN_Rx[Frais_JA])-SUMIF(Rencontres_N3_PN_Rx[Code_JA],X232,Rencontres_N3_PN_Rx[frais defiscalisable]),"")</f>
        <v/>
      </c>
      <c r="AE232" s="121" t="str">
        <f>IF(X232&lt;&gt;"",SUMIF(Rencontres_N3_PN_Rx[Code_JA],X232,Rencontres_N3_PN_Rx[frais defiscalisable]),"")</f>
        <v/>
      </c>
    </row>
    <row r="233" spans="1:31" ht="15" customHeight="1" x14ac:dyDescent="0.25">
      <c r="A233" s="19" t="s">
        <v>2018</v>
      </c>
      <c r="B233" s="46" t="s">
        <v>2019</v>
      </c>
      <c r="C233" s="21" t="s">
        <v>2020</v>
      </c>
      <c r="D233" s="21" t="s">
        <v>2021</v>
      </c>
      <c r="E233" s="21" t="s">
        <v>2022</v>
      </c>
      <c r="F233" s="19">
        <v>27340</v>
      </c>
      <c r="G233" s="21" t="s">
        <v>2023</v>
      </c>
      <c r="H233" s="42" t="s">
        <v>2024</v>
      </c>
      <c r="I233" s="43" t="s">
        <v>2025</v>
      </c>
      <c r="J233" s="43" t="s">
        <v>2026</v>
      </c>
      <c r="K233" s="45" t="s">
        <v>394</v>
      </c>
      <c r="L233" s="21" t="s">
        <v>395</v>
      </c>
      <c r="M233" s="19">
        <f>_xlfn.XLOOKUP(tab_JA[[#This Row],[Code]],Rencontres_N3_PN_Rx[Code_JA],Rencontres_N3_PN_Rx[prest],0,0)</f>
        <v>0</v>
      </c>
      <c r="N233" s="19" t="s">
        <v>36</v>
      </c>
      <c r="P233" s="27">
        <f>SUMIF(Rencontres_N3_PN_Rx[Code_JA],tab_JA[[#This Row],[Code]],Rencontres_N3_PN_Rx[Frais_JA])</f>
        <v>0</v>
      </c>
      <c r="W233" s="31" t="str">
        <f>IF(X233&lt;&gt;"",_xlfn.XLOOKUP(X233,tab_JA[Code],tab_JA[N_licence],"so"),"")</f>
        <v/>
      </c>
      <c r="X233" s="32"/>
      <c r="AA233" s="33" t="s">
        <v>2552</v>
      </c>
      <c r="AB233" s="33" t="s">
        <v>2552</v>
      </c>
      <c r="AC233" s="33" t="s">
        <v>2552</v>
      </c>
      <c r="AD233" s="34" t="str">
        <f>IF(X233&lt;&gt;"",SUMIF(Rencontres_N3_PN_Rx[Code_JA],X233,Rencontres_N3_PN_Rx[Frais_JA])-SUMIF(Rencontres_N3_PN_Rx[Code_JA],X233,Rencontres_N3_PN_Rx[frais defiscalisable]),"")</f>
        <v/>
      </c>
      <c r="AE233" s="121" t="str">
        <f>IF(X233&lt;&gt;"",SUMIF(Rencontres_N3_PN_Rx[Code_JA],X233,Rencontres_N3_PN_Rx[frais defiscalisable]),"")</f>
        <v/>
      </c>
    </row>
    <row r="234" spans="1:31" ht="15" customHeight="1" x14ac:dyDescent="0.25">
      <c r="A234" s="19" t="s">
        <v>3328</v>
      </c>
      <c r="B234" s="20" t="s">
        <v>2034</v>
      </c>
      <c r="C234" s="21" t="s">
        <v>2035</v>
      </c>
      <c r="D234" s="21" t="s">
        <v>2036</v>
      </c>
      <c r="E234" s="21" t="s">
        <v>2037</v>
      </c>
      <c r="F234" s="19">
        <v>14400</v>
      </c>
      <c r="G234" s="21" t="s">
        <v>2038</v>
      </c>
      <c r="H234" s="42" t="s">
        <v>2039</v>
      </c>
      <c r="I234" s="43"/>
      <c r="J234" s="43" t="s">
        <v>2040</v>
      </c>
      <c r="K234" s="44" t="s">
        <v>1203</v>
      </c>
      <c r="L234" s="21" t="s">
        <v>1204</v>
      </c>
      <c r="M234" s="19">
        <f>_xlfn.XLOOKUP(tab_JA[[#This Row],[Code]],Rencontres_N3_PN_Rx[Code_JA],Rencontres_N3_PN_Rx[prest],0,0)</f>
        <v>0</v>
      </c>
      <c r="N234" s="19" t="s">
        <v>36</v>
      </c>
      <c r="P234" s="27">
        <f>SUMIF(Rencontres_N3_PN_Rx[Code_JA],tab_JA[[#This Row],[Code]],Rencontres_N3_PN_Rx[Frais_JA])</f>
        <v>0</v>
      </c>
      <c r="W234" s="31" t="str">
        <f>IF(X234&lt;&gt;"",_xlfn.XLOOKUP(X234,tab_JA[Code],tab_JA[N_licence],"so"),"")</f>
        <v/>
      </c>
      <c r="X234" s="32"/>
      <c r="AA234" s="33" t="s">
        <v>2552</v>
      </c>
      <c r="AB234" s="33" t="s">
        <v>2552</v>
      </c>
      <c r="AC234" s="33" t="s">
        <v>2552</v>
      </c>
      <c r="AD234" s="34" t="str">
        <f>IF(X234&lt;&gt;"",SUMIF(Rencontres_N3_PN_Rx[Code_JA],X234,Rencontres_N3_PN_Rx[Frais_JA])-SUMIF(Rencontres_N3_PN_Rx[Code_JA],X234,Rencontres_N3_PN_Rx[frais defiscalisable]),"")</f>
        <v/>
      </c>
      <c r="AE234" s="121" t="str">
        <f>IF(X234&lt;&gt;"",SUMIF(Rencontres_N3_PN_Rx[Code_JA],X234,Rencontres_N3_PN_Rx[frais defiscalisable]),"")</f>
        <v/>
      </c>
    </row>
    <row r="235" spans="1:31" ht="15" customHeight="1" x14ac:dyDescent="0.25">
      <c r="A235" s="19" t="s">
        <v>2027</v>
      </c>
      <c r="B235" s="20" t="s">
        <v>2028</v>
      </c>
      <c r="C235" s="21" t="s">
        <v>2029</v>
      </c>
      <c r="D235" s="21" t="s">
        <v>2030</v>
      </c>
      <c r="E235" s="21" t="s">
        <v>2031</v>
      </c>
      <c r="F235" s="19">
        <v>61400</v>
      </c>
      <c r="G235" s="21" t="s">
        <v>1991</v>
      </c>
      <c r="H235" s="42" t="s">
        <v>2032</v>
      </c>
      <c r="I235" s="43" t="s">
        <v>1993</v>
      </c>
      <c r="J235" s="43" t="s">
        <v>2033</v>
      </c>
      <c r="K235" s="44" t="s">
        <v>433</v>
      </c>
      <c r="L235" s="21" t="s">
        <v>434</v>
      </c>
      <c r="M235" s="19">
        <f>_xlfn.XLOOKUP(tab_JA[[#This Row],[Code]],Rencontres_N3_PN_Rx[Code_JA],Rencontres_N3_PN_Rx[prest],0,0)</f>
        <v>0</v>
      </c>
      <c r="N235" s="19" t="s">
        <v>36</v>
      </c>
      <c r="P235" s="27">
        <f>SUMIF(Rencontres_N3_PN_Rx[Code_JA],tab_JA[[#This Row],[Code]],Rencontres_N3_PN_Rx[Frais_JA])</f>
        <v>0</v>
      </c>
      <c r="W235" s="31" t="str">
        <f>IF(X235&lt;&gt;"",_xlfn.XLOOKUP(X235,tab_JA[Code],tab_JA[N_licence],"so"),"")</f>
        <v/>
      </c>
      <c r="X235" s="32"/>
      <c r="AA235" s="33" t="s">
        <v>2552</v>
      </c>
      <c r="AB235" s="33" t="s">
        <v>2552</v>
      </c>
      <c r="AC235" s="33" t="s">
        <v>2552</v>
      </c>
      <c r="AD235" s="34" t="str">
        <f>IF(X235&lt;&gt;"",SUMIF(Rencontres_N3_PN_Rx[Code_JA],X235,Rencontres_N3_PN_Rx[Frais_JA])-SUMIF(Rencontres_N3_PN_Rx[Code_JA],X235,Rencontres_N3_PN_Rx[frais defiscalisable]),"")</f>
        <v/>
      </c>
      <c r="AE235" s="121" t="str">
        <f>IF(X235&lt;&gt;"",SUMIF(Rencontres_N3_PN_Rx[Code_JA],X235,Rencontres_N3_PN_Rx[frais defiscalisable]),"")</f>
        <v/>
      </c>
    </row>
    <row r="236" spans="1:31" ht="15" customHeight="1" x14ac:dyDescent="0.25">
      <c r="A236" s="19" t="s">
        <v>2041</v>
      </c>
      <c r="B236" s="20" t="s">
        <v>2042</v>
      </c>
      <c r="C236" s="21" t="s">
        <v>2043</v>
      </c>
      <c r="D236" s="21" t="s">
        <v>2044</v>
      </c>
      <c r="E236" s="21" t="s">
        <v>2045</v>
      </c>
      <c r="F236" s="19">
        <v>76100</v>
      </c>
      <c r="G236" s="21" t="s">
        <v>411</v>
      </c>
      <c r="H236" s="42" t="s">
        <v>2046</v>
      </c>
      <c r="I236" s="43" t="s">
        <v>2047</v>
      </c>
      <c r="J236" s="43" t="s">
        <v>2048</v>
      </c>
      <c r="K236" s="44" t="s">
        <v>414</v>
      </c>
      <c r="L236" s="21" t="s">
        <v>415</v>
      </c>
      <c r="M236" s="19">
        <f>_xlfn.XLOOKUP(tab_JA[[#This Row],[Code]],Rencontres_N3_PN_Rx[Code_JA],Rencontres_N3_PN_Rx[prest],0,0)</f>
        <v>0</v>
      </c>
      <c r="N236" s="19" t="s">
        <v>36</v>
      </c>
      <c r="P236" s="27">
        <f>SUMIF(Rencontres_N3_PN_Rx[Code_JA],tab_JA[[#This Row],[Code]],Rencontres_N3_PN_Rx[Frais_JA])</f>
        <v>0</v>
      </c>
      <c r="W236" s="31" t="str">
        <f>IF(X236&lt;&gt;"",_xlfn.XLOOKUP(X236,tab_JA[Code],tab_JA[N_licence],"so"),"")</f>
        <v/>
      </c>
      <c r="X236" s="32"/>
      <c r="AA236" s="33" t="s">
        <v>2552</v>
      </c>
      <c r="AB236" s="33" t="s">
        <v>2552</v>
      </c>
      <c r="AC236" s="33" t="s">
        <v>2552</v>
      </c>
      <c r="AD236" s="34" t="str">
        <f>IF(X236&lt;&gt;"",SUMIF(Rencontres_N3_PN_Rx[Code_JA],X236,Rencontres_N3_PN_Rx[Frais_JA])-SUMIF(Rencontres_N3_PN_Rx[Code_JA],X236,Rencontres_N3_PN_Rx[frais defiscalisable]),"")</f>
        <v/>
      </c>
      <c r="AE236" s="121" t="str">
        <f>IF(X236&lt;&gt;"",SUMIF(Rencontres_N3_PN_Rx[Code_JA],X236,Rencontres_N3_PN_Rx[frais defiscalisable]),"")</f>
        <v/>
      </c>
    </row>
    <row r="237" spans="1:31" ht="15" customHeight="1" x14ac:dyDescent="0.25">
      <c r="A237" s="19" t="s">
        <v>3329</v>
      </c>
      <c r="B237" s="20" t="s">
        <v>2049</v>
      </c>
      <c r="C237" s="21" t="s">
        <v>2050</v>
      </c>
      <c r="D237" s="21" t="s">
        <v>1718</v>
      </c>
      <c r="E237" s="21" t="s">
        <v>2051</v>
      </c>
      <c r="F237" s="19">
        <v>61000</v>
      </c>
      <c r="G237" s="21" t="s">
        <v>2052</v>
      </c>
      <c r="H237" s="42" t="s">
        <v>2053</v>
      </c>
      <c r="I237" s="43"/>
      <c r="J237" s="43" t="s">
        <v>2054</v>
      </c>
      <c r="K237" s="44" t="s">
        <v>324</v>
      </c>
      <c r="L237" s="21" t="s">
        <v>325</v>
      </c>
      <c r="M237" s="19">
        <f>_xlfn.XLOOKUP(tab_JA[[#This Row],[Code]],Rencontres_N3_PN_Rx[Code_JA],Rencontres_N3_PN_Rx[prest],0,0)</f>
        <v>0</v>
      </c>
      <c r="N237" s="19" t="s">
        <v>36</v>
      </c>
      <c r="P237" s="27">
        <f>SUMIF(Rencontres_N3_PN_Rx[Code_JA],tab_JA[[#This Row],[Code]],Rencontres_N3_PN_Rx[Frais_JA])</f>
        <v>0</v>
      </c>
      <c r="W237" s="31" t="str">
        <f>IF(X237&lt;&gt;"",_xlfn.XLOOKUP(X237,tab_JA[Code],tab_JA[N_licence],"so"),"")</f>
        <v/>
      </c>
      <c r="X237" s="32"/>
      <c r="AA237" s="33" t="s">
        <v>2552</v>
      </c>
      <c r="AB237" s="33" t="s">
        <v>2552</v>
      </c>
      <c r="AC237" s="33" t="s">
        <v>2552</v>
      </c>
      <c r="AD237" s="34" t="str">
        <f>IF(X237&lt;&gt;"",SUMIF(Rencontres_N3_PN_Rx[Code_JA],X237,Rencontres_N3_PN_Rx[Frais_JA])-SUMIF(Rencontres_N3_PN_Rx[Code_JA],X237,Rencontres_N3_PN_Rx[frais defiscalisable]),"")</f>
        <v/>
      </c>
      <c r="AE237" s="121" t="str">
        <f>IF(X237&lt;&gt;"",SUMIF(Rencontres_N3_PN_Rx[Code_JA],X237,Rencontres_N3_PN_Rx[frais defiscalisable]),"")</f>
        <v/>
      </c>
    </row>
    <row r="238" spans="1:31" ht="15" customHeight="1" x14ac:dyDescent="0.25">
      <c r="A238" s="19" t="s">
        <v>2055</v>
      </c>
      <c r="B238" s="20" t="s">
        <v>2056</v>
      </c>
      <c r="C238" s="21" t="s">
        <v>2057</v>
      </c>
      <c r="D238" s="21" t="s">
        <v>849</v>
      </c>
      <c r="E238" s="21" t="s">
        <v>2058</v>
      </c>
      <c r="F238" s="19">
        <v>50460</v>
      </c>
      <c r="G238" s="21" t="s">
        <v>2059</v>
      </c>
      <c r="H238" s="42" t="s">
        <v>2060</v>
      </c>
      <c r="I238" s="43" t="s">
        <v>2061</v>
      </c>
      <c r="J238" s="43" t="s">
        <v>2062</v>
      </c>
      <c r="K238" s="44" t="s">
        <v>2063</v>
      </c>
      <c r="L238" s="21" t="s">
        <v>2064</v>
      </c>
      <c r="M238" s="19">
        <f>_xlfn.XLOOKUP(tab_JA[[#This Row],[Code]],Rencontres_N3_PN_Rx[Code_JA],Rencontres_N3_PN_Rx[prest],0,0)</f>
        <v>1</v>
      </c>
      <c r="N238" s="19" t="s">
        <v>36</v>
      </c>
      <c r="P238" s="27">
        <f>SUMIF(Rencontres_N3_PN_Rx[Code_JA],tab_JA[[#This Row],[Code]],Rencontres_N3_PN_Rx[Frais_JA])</f>
        <v>30.4</v>
      </c>
      <c r="W238" s="31" t="str">
        <f>IF(X238&lt;&gt;"",_xlfn.XLOOKUP(X238,tab_JA[Code],tab_JA[N_licence],"so"),"")</f>
        <v/>
      </c>
      <c r="X238" s="32"/>
      <c r="AA238" s="33" t="s">
        <v>2552</v>
      </c>
      <c r="AB238" s="33" t="s">
        <v>2552</v>
      </c>
      <c r="AC238" s="33" t="s">
        <v>2552</v>
      </c>
      <c r="AD238" s="34" t="str">
        <f>IF(X238&lt;&gt;"",SUMIF(Rencontres_N3_PN_Rx[Code_JA],X238,Rencontres_N3_PN_Rx[Frais_JA])-SUMIF(Rencontres_N3_PN_Rx[Code_JA],X238,Rencontres_N3_PN_Rx[frais defiscalisable]),"")</f>
        <v/>
      </c>
      <c r="AE238" s="121" t="str">
        <f>IF(X238&lt;&gt;"",SUMIF(Rencontres_N3_PN_Rx[Code_JA],X238,Rencontres_N3_PN_Rx[frais defiscalisable]),"")</f>
        <v/>
      </c>
    </row>
    <row r="239" spans="1:31" ht="15" customHeight="1" x14ac:dyDescent="0.25">
      <c r="A239" s="19" t="s">
        <v>2065</v>
      </c>
      <c r="B239" s="20" t="s">
        <v>2066</v>
      </c>
      <c r="C239" s="21" t="s">
        <v>2057</v>
      </c>
      <c r="D239" s="21" t="s">
        <v>389</v>
      </c>
      <c r="E239" s="21" t="s">
        <v>2067</v>
      </c>
      <c r="F239" s="19">
        <v>50100</v>
      </c>
      <c r="G239" s="21" t="s">
        <v>170</v>
      </c>
      <c r="H239" s="42" t="s">
        <v>2068</v>
      </c>
      <c r="I239" s="43" t="s">
        <v>2069</v>
      </c>
      <c r="J239" s="43" t="s">
        <v>2070</v>
      </c>
      <c r="K239" s="44" t="s">
        <v>2063</v>
      </c>
      <c r="L239" s="21" t="s">
        <v>2064</v>
      </c>
      <c r="M239" s="19">
        <f>_xlfn.XLOOKUP(tab_JA[[#This Row],[Code]],Rencontres_N3_PN_Rx[Code_JA],Rencontres_N3_PN_Rx[prest],0,0)</f>
        <v>0</v>
      </c>
      <c r="N239" s="19" t="s">
        <v>36</v>
      </c>
      <c r="P239" s="27">
        <f>SUMIF(Rencontres_N3_PN_Rx[Code_JA],tab_JA[[#This Row],[Code]],Rencontres_N3_PN_Rx[Frais_JA])</f>
        <v>0</v>
      </c>
      <c r="W239" s="31" t="str">
        <f>IF(X239&lt;&gt;"",_xlfn.XLOOKUP(X239,tab_JA[Code],tab_JA[N_licence],"so"),"")</f>
        <v/>
      </c>
      <c r="X239" s="32"/>
      <c r="AA239" s="33" t="s">
        <v>2552</v>
      </c>
      <c r="AB239" s="33" t="s">
        <v>2552</v>
      </c>
      <c r="AC239" s="33" t="s">
        <v>2552</v>
      </c>
      <c r="AD239" s="34" t="str">
        <f>IF(X239&lt;&gt;"",SUMIF(Rencontres_N3_PN_Rx[Code_JA],X239,Rencontres_N3_PN_Rx[Frais_JA])-SUMIF(Rencontres_N3_PN_Rx[Code_JA],X239,Rencontres_N3_PN_Rx[frais defiscalisable]),"")</f>
        <v/>
      </c>
      <c r="AE239" s="121" t="str">
        <f>IF(X239&lt;&gt;"",SUMIF(Rencontres_N3_PN_Rx[Code_JA],X239,Rencontres_N3_PN_Rx[frais defiscalisable]),"")</f>
        <v/>
      </c>
    </row>
    <row r="240" spans="1:31" ht="15" customHeight="1" x14ac:dyDescent="0.25">
      <c r="A240" s="19" t="s">
        <v>2080</v>
      </c>
      <c r="B240" s="20" t="s">
        <v>2081</v>
      </c>
      <c r="C240" s="21" t="s">
        <v>2082</v>
      </c>
      <c r="D240" s="21" t="s">
        <v>2083</v>
      </c>
      <c r="E240" s="21" t="s">
        <v>2084</v>
      </c>
      <c r="F240" s="19">
        <v>61250</v>
      </c>
      <c r="G240" s="21" t="s">
        <v>2085</v>
      </c>
      <c r="H240" s="42" t="s">
        <v>2086</v>
      </c>
      <c r="I240" s="43"/>
      <c r="J240" s="43" t="s">
        <v>2087</v>
      </c>
      <c r="K240" s="44" t="s">
        <v>2088</v>
      </c>
      <c r="L240" s="21" t="s">
        <v>2089</v>
      </c>
      <c r="M240" s="19">
        <f>_xlfn.XLOOKUP(tab_JA[[#This Row],[Code]],Rencontres_N3_PN_Rx[Code_JA],Rencontres_N3_PN_Rx[prest],0,0)</f>
        <v>0</v>
      </c>
      <c r="N240" s="19" t="s">
        <v>36</v>
      </c>
      <c r="P240" s="27">
        <f>SUMIF(Rencontres_N3_PN_Rx[Code_JA],tab_JA[[#This Row],[Code]],Rencontres_N3_PN_Rx[Frais_JA])</f>
        <v>0</v>
      </c>
      <c r="W240" s="31" t="str">
        <f>IF(X240&lt;&gt;"",_xlfn.XLOOKUP(X240,tab_JA[Code],tab_JA[N_licence],"so"),"")</f>
        <v/>
      </c>
      <c r="X240" s="32"/>
      <c r="AA240" s="33" t="s">
        <v>2552</v>
      </c>
      <c r="AB240" s="33" t="s">
        <v>2552</v>
      </c>
      <c r="AC240" s="33" t="s">
        <v>2552</v>
      </c>
      <c r="AD240" s="34" t="str">
        <f>IF(X240&lt;&gt;"",SUMIF(Rencontres_N3_PN_Rx[Code_JA],X240,Rencontres_N3_PN_Rx[Frais_JA])-SUMIF(Rencontres_N3_PN_Rx[Code_JA],X240,Rencontres_N3_PN_Rx[frais defiscalisable]),"")</f>
        <v/>
      </c>
      <c r="AE240" s="121" t="str">
        <f>IF(X240&lt;&gt;"",SUMIF(Rencontres_N3_PN_Rx[Code_JA],X240,Rencontres_N3_PN_Rx[frais defiscalisable]),"")</f>
        <v/>
      </c>
    </row>
    <row r="241" spans="1:31" ht="15" customHeight="1" x14ac:dyDescent="0.25">
      <c r="A241" s="19" t="s">
        <v>2071</v>
      </c>
      <c r="B241" s="20" t="s">
        <v>2072</v>
      </c>
      <c r="C241" s="21" t="s">
        <v>2073</v>
      </c>
      <c r="D241" s="21" t="s">
        <v>2074</v>
      </c>
      <c r="E241" s="21" t="s">
        <v>2075</v>
      </c>
      <c r="F241" s="19">
        <v>27370</v>
      </c>
      <c r="G241" s="21" t="s">
        <v>2076</v>
      </c>
      <c r="H241" s="42" t="s">
        <v>2077</v>
      </c>
      <c r="I241" s="43" t="s">
        <v>2078</v>
      </c>
      <c r="J241" s="43" t="s">
        <v>2079</v>
      </c>
      <c r="K241" s="44" t="s">
        <v>394</v>
      </c>
      <c r="L241" s="21" t="s">
        <v>395</v>
      </c>
      <c r="M241" s="19">
        <f>_xlfn.XLOOKUP(tab_JA[[#This Row],[Code]],Rencontres_N3_PN_Rx[Code_JA],Rencontres_N3_PN_Rx[prest],0,0)</f>
        <v>0</v>
      </c>
      <c r="N241" s="19" t="s">
        <v>36</v>
      </c>
      <c r="P241" s="27">
        <f>SUMIF(Rencontres_N3_PN_Rx[Code_JA],tab_JA[[#This Row],[Code]],Rencontres_N3_PN_Rx[Frais_JA])</f>
        <v>0</v>
      </c>
      <c r="W241" s="31" t="str">
        <f>IF(X241&lt;&gt;"",_xlfn.XLOOKUP(X241,tab_JA[Code],tab_JA[N_licence],"so"),"")</f>
        <v/>
      </c>
      <c r="X241" s="32"/>
      <c r="AA241" s="33" t="s">
        <v>2552</v>
      </c>
      <c r="AB241" s="33" t="s">
        <v>2552</v>
      </c>
      <c r="AC241" s="33" t="s">
        <v>2552</v>
      </c>
      <c r="AD241" s="34" t="str">
        <f>IF(X241&lt;&gt;"",SUMIF(Rencontres_N3_PN_Rx[Code_JA],X241,Rencontres_N3_PN_Rx[Frais_JA])-SUMIF(Rencontres_N3_PN_Rx[Code_JA],X241,Rencontres_N3_PN_Rx[frais defiscalisable]),"")</f>
        <v/>
      </c>
      <c r="AE241" s="121" t="str">
        <f>IF(X241&lt;&gt;"",SUMIF(Rencontres_N3_PN_Rx[Code_JA],X241,Rencontres_N3_PN_Rx[frais defiscalisable]),"")</f>
        <v/>
      </c>
    </row>
    <row r="242" spans="1:31" ht="15" customHeight="1" x14ac:dyDescent="0.25">
      <c r="A242" s="19" t="s">
        <v>2090</v>
      </c>
      <c r="B242" s="20" t="s">
        <v>2091</v>
      </c>
      <c r="C242" s="21" t="s">
        <v>2092</v>
      </c>
      <c r="D242" s="21" t="s">
        <v>1110</v>
      </c>
      <c r="E242" s="21" t="s">
        <v>2093</v>
      </c>
      <c r="F242" s="19">
        <v>76290</v>
      </c>
      <c r="G242" s="21" t="s">
        <v>610</v>
      </c>
      <c r="H242" s="42" t="s">
        <v>2094</v>
      </c>
      <c r="I242" s="43"/>
      <c r="J242" s="43" t="s">
        <v>2095</v>
      </c>
      <c r="K242" s="44" t="s">
        <v>2096</v>
      </c>
      <c r="L242" s="21" t="s">
        <v>2097</v>
      </c>
      <c r="M242" s="19">
        <f>_xlfn.XLOOKUP(tab_JA[[#This Row],[Code]],Rencontres_N3_PN_Rx[Code_JA],Rencontres_N3_PN_Rx[prest],0,0)</f>
        <v>0</v>
      </c>
      <c r="N242" s="19" t="s">
        <v>36</v>
      </c>
      <c r="P242" s="27">
        <f>SUMIF(Rencontres_N3_PN_Rx[Code_JA],tab_JA[[#This Row],[Code]],Rencontres_N3_PN_Rx[Frais_JA])</f>
        <v>0</v>
      </c>
      <c r="W242" s="31" t="str">
        <f>IF(X242&lt;&gt;"",_xlfn.XLOOKUP(X242,tab_JA[Code],tab_JA[N_licence],"so"),"")</f>
        <v/>
      </c>
      <c r="X242" s="32"/>
      <c r="AA242" s="33" t="s">
        <v>2552</v>
      </c>
      <c r="AB242" s="33" t="s">
        <v>2552</v>
      </c>
      <c r="AC242" s="33" t="s">
        <v>2552</v>
      </c>
      <c r="AD242" s="34" t="str">
        <f>IF(X242&lt;&gt;"",SUMIF(Rencontres_N3_PN_Rx[Code_JA],X242,Rencontres_N3_PN_Rx[Frais_JA])-SUMIF(Rencontres_N3_PN_Rx[Code_JA],X242,Rencontres_N3_PN_Rx[frais defiscalisable]),"")</f>
        <v/>
      </c>
      <c r="AE242" s="121" t="str">
        <f>IF(X242&lt;&gt;"",SUMIF(Rencontres_N3_PN_Rx[Code_JA],X242,Rencontres_N3_PN_Rx[frais defiscalisable]),"")</f>
        <v/>
      </c>
    </row>
    <row r="243" spans="1:31" ht="15" customHeight="1" x14ac:dyDescent="0.25">
      <c r="A243" s="19" t="s">
        <v>2107</v>
      </c>
      <c r="B243" s="20" t="s">
        <v>2108</v>
      </c>
      <c r="C243" s="21" t="s">
        <v>2109</v>
      </c>
      <c r="D243" s="21" t="s">
        <v>204</v>
      </c>
      <c r="E243" s="21" t="s">
        <v>2110</v>
      </c>
      <c r="F243" s="19">
        <v>14540</v>
      </c>
      <c r="G243" s="21" t="s">
        <v>2111</v>
      </c>
      <c r="H243" s="42" t="s">
        <v>2112</v>
      </c>
      <c r="I243" s="43" t="s">
        <v>2113</v>
      </c>
      <c r="J243" s="43"/>
      <c r="K243" s="44" t="s">
        <v>1003</v>
      </c>
      <c r="L243" s="21" t="s">
        <v>1004</v>
      </c>
      <c r="M243" s="19">
        <f>_xlfn.XLOOKUP(tab_JA[[#This Row],[Code]],Rencontres_N3_PN_Rx[Code_JA],Rencontres_N3_PN_Rx[prest],0,0)</f>
        <v>0</v>
      </c>
      <c r="N243" s="19" t="s">
        <v>36</v>
      </c>
      <c r="P243" s="27">
        <f>SUMIF(Rencontres_N3_PN_Rx[Code_JA],tab_JA[[#This Row],[Code]],Rencontres_N3_PN_Rx[Frais_JA])</f>
        <v>0</v>
      </c>
      <c r="W243" s="31" t="str">
        <f>IF(X243&lt;&gt;"",_xlfn.XLOOKUP(X243,tab_JA[Code],tab_JA[N_licence],"so"),"")</f>
        <v/>
      </c>
      <c r="X243" s="32"/>
      <c r="AA243" s="33" t="s">
        <v>2552</v>
      </c>
      <c r="AB243" s="33" t="s">
        <v>2552</v>
      </c>
      <c r="AC243" s="33" t="s">
        <v>2552</v>
      </c>
      <c r="AD243" s="34" t="str">
        <f>IF(X243&lt;&gt;"",SUMIF(Rencontres_N3_PN_Rx[Code_JA],X243,Rencontres_N3_PN_Rx[Frais_JA])-SUMIF(Rencontres_N3_PN_Rx[Code_JA],X243,Rencontres_N3_PN_Rx[frais defiscalisable]),"")</f>
        <v/>
      </c>
      <c r="AE243" s="121" t="str">
        <f>IF(X243&lt;&gt;"",SUMIF(Rencontres_N3_PN_Rx[Code_JA],X243,Rencontres_N3_PN_Rx[frais defiscalisable]),"")</f>
        <v/>
      </c>
    </row>
    <row r="244" spans="1:31" ht="15" customHeight="1" x14ac:dyDescent="0.25">
      <c r="A244" s="19" t="s">
        <v>3330</v>
      </c>
      <c r="B244" s="20" t="s">
        <v>2121</v>
      </c>
      <c r="C244" s="21" t="s">
        <v>2122</v>
      </c>
      <c r="D244" s="21" t="s">
        <v>2123</v>
      </c>
      <c r="E244" s="21" t="s">
        <v>2124</v>
      </c>
      <c r="F244" s="19">
        <v>50460</v>
      </c>
      <c r="G244" s="21" t="s">
        <v>2125</v>
      </c>
      <c r="H244" s="42" t="s">
        <v>2126</v>
      </c>
      <c r="I244" s="43" t="s">
        <v>2127</v>
      </c>
      <c r="J244" s="43"/>
      <c r="K244" s="44" t="s">
        <v>173</v>
      </c>
      <c r="L244" s="21" t="s">
        <v>174</v>
      </c>
      <c r="M244" s="19">
        <f>_xlfn.XLOOKUP(tab_JA[[#This Row],[Code]],Rencontres_N3_PN_Rx[Code_JA],Rencontres_N3_PN_Rx[prest],0,0)</f>
        <v>0</v>
      </c>
      <c r="N244" s="19" t="s">
        <v>36</v>
      </c>
      <c r="P244" s="27">
        <f>SUMIF(Rencontres_N3_PN_Rx[Code_JA],tab_JA[[#This Row],[Code]],Rencontres_N3_PN_Rx[Frais_JA])</f>
        <v>0</v>
      </c>
      <c r="W244" s="31" t="str">
        <f>IF(X244&lt;&gt;"",_xlfn.XLOOKUP(X244,tab_JA[Code],tab_JA[N_licence],"so"),"")</f>
        <v/>
      </c>
      <c r="X244" s="32"/>
      <c r="AA244" s="33" t="s">
        <v>2552</v>
      </c>
      <c r="AB244" s="33" t="s">
        <v>2552</v>
      </c>
      <c r="AC244" s="33" t="s">
        <v>2552</v>
      </c>
      <c r="AD244" s="34" t="str">
        <f>IF(X244&lt;&gt;"",SUMIF(Rencontres_N3_PN_Rx[Code_JA],X244,Rencontres_N3_PN_Rx[Frais_JA])-SUMIF(Rencontres_N3_PN_Rx[Code_JA],X244,Rencontres_N3_PN_Rx[frais defiscalisable]),"")</f>
        <v/>
      </c>
      <c r="AE244" s="121" t="str">
        <f>IF(X244&lt;&gt;"",SUMIF(Rencontres_N3_PN_Rx[Code_JA],X244,Rencontres_N3_PN_Rx[frais defiscalisable]),"")</f>
        <v/>
      </c>
    </row>
    <row r="245" spans="1:31" ht="15" customHeight="1" x14ac:dyDescent="0.25">
      <c r="A245" s="19" t="s">
        <v>2098</v>
      </c>
      <c r="B245" s="20" t="s">
        <v>2099</v>
      </c>
      <c r="C245" s="21" t="s">
        <v>2100</v>
      </c>
      <c r="D245" s="21" t="s">
        <v>2101</v>
      </c>
      <c r="E245" s="21" t="s">
        <v>2102</v>
      </c>
      <c r="F245" s="19">
        <v>27370</v>
      </c>
      <c r="G245" s="21" t="s">
        <v>2103</v>
      </c>
      <c r="H245" s="42" t="s">
        <v>2104</v>
      </c>
      <c r="I245" s="43" t="s">
        <v>2105</v>
      </c>
      <c r="J245" s="43" t="s">
        <v>2106</v>
      </c>
      <c r="K245" s="44" t="s">
        <v>717</v>
      </c>
      <c r="L245" s="21" t="s">
        <v>718</v>
      </c>
      <c r="M245" s="19">
        <f>_xlfn.XLOOKUP(tab_JA[[#This Row],[Code]],Rencontres_N3_PN_Rx[Code_JA],Rencontres_N3_PN_Rx[prest],0,0)</f>
        <v>0</v>
      </c>
      <c r="N245" s="19" t="s">
        <v>36</v>
      </c>
      <c r="P245" s="27">
        <f>SUMIF(Rencontres_N3_PN_Rx[Code_JA],tab_JA[[#This Row],[Code]],Rencontres_N3_PN_Rx[Frais_JA])</f>
        <v>0</v>
      </c>
      <c r="W245" s="31" t="str">
        <f>IF(X245&lt;&gt;"",_xlfn.XLOOKUP(X245,tab_JA[Code],tab_JA[N_licence],"so"),"")</f>
        <v/>
      </c>
      <c r="X245" s="32"/>
      <c r="AA245" s="33" t="s">
        <v>2552</v>
      </c>
      <c r="AB245" s="33" t="s">
        <v>2552</v>
      </c>
      <c r="AC245" s="33" t="s">
        <v>2552</v>
      </c>
      <c r="AD245" s="34" t="str">
        <f>IF(X245&lt;&gt;"",SUMIF(Rencontres_N3_PN_Rx[Code_JA],X245,Rencontres_N3_PN_Rx[Frais_JA])-SUMIF(Rencontres_N3_PN_Rx[Code_JA],X245,Rencontres_N3_PN_Rx[frais defiscalisable]),"")</f>
        <v/>
      </c>
      <c r="AE245" s="121" t="str">
        <f>IF(X245&lt;&gt;"",SUMIF(Rencontres_N3_PN_Rx[Code_JA],X245,Rencontres_N3_PN_Rx[frais defiscalisable]),"")</f>
        <v/>
      </c>
    </row>
    <row r="246" spans="1:31" ht="15" customHeight="1" x14ac:dyDescent="0.25">
      <c r="A246" s="19" t="s">
        <v>2128</v>
      </c>
      <c r="B246" s="20" t="s">
        <v>2129</v>
      </c>
      <c r="C246" s="21" t="s">
        <v>2130</v>
      </c>
      <c r="D246" s="21" t="s">
        <v>2131</v>
      </c>
      <c r="E246" s="21" t="s">
        <v>2132</v>
      </c>
      <c r="F246" s="19">
        <v>27180</v>
      </c>
      <c r="G246" s="21" t="s">
        <v>2133</v>
      </c>
      <c r="H246" s="42" t="s">
        <v>2134</v>
      </c>
      <c r="I246" s="43"/>
      <c r="J246" s="43" t="s">
        <v>2135</v>
      </c>
      <c r="K246" s="44" t="s">
        <v>77</v>
      </c>
      <c r="L246" s="21" t="s">
        <v>78</v>
      </c>
      <c r="M246" s="19">
        <f>_xlfn.XLOOKUP(tab_JA[[#This Row],[Code]],Rencontres_N3_PN_Rx[Code_JA],Rencontres_N3_PN_Rx[prest],0,0)</f>
        <v>0</v>
      </c>
      <c r="N246" s="19" t="s">
        <v>36</v>
      </c>
      <c r="P246" s="27">
        <f>SUMIF(Rencontres_N3_PN_Rx[Code_JA],tab_JA[[#This Row],[Code]],Rencontres_N3_PN_Rx[Frais_JA])</f>
        <v>0</v>
      </c>
      <c r="W246" s="31" t="str">
        <f>IF(X246&lt;&gt;"",_xlfn.XLOOKUP(X246,tab_JA[Code],tab_JA[N_licence],"so"),"")</f>
        <v/>
      </c>
      <c r="X246" s="32"/>
      <c r="AA246" s="33" t="s">
        <v>2552</v>
      </c>
      <c r="AB246" s="33" t="s">
        <v>2552</v>
      </c>
      <c r="AC246" s="33" t="s">
        <v>2552</v>
      </c>
      <c r="AD246" s="34" t="str">
        <f>IF(X246&lt;&gt;"",SUMIF(Rencontres_N3_PN_Rx[Code_JA],X246,Rencontres_N3_PN_Rx[Frais_JA])-SUMIF(Rencontres_N3_PN_Rx[Code_JA],X246,Rencontres_N3_PN_Rx[frais defiscalisable]),"")</f>
        <v/>
      </c>
      <c r="AE246" s="121" t="str">
        <f>IF(X246&lt;&gt;"",SUMIF(Rencontres_N3_PN_Rx[Code_JA],X246,Rencontres_N3_PN_Rx[frais defiscalisable]),"")</f>
        <v/>
      </c>
    </row>
    <row r="247" spans="1:31" ht="15" customHeight="1" x14ac:dyDescent="0.25">
      <c r="A247" s="19" t="s">
        <v>2114</v>
      </c>
      <c r="B247" s="20" t="s">
        <v>2115</v>
      </c>
      <c r="C247" s="21" t="s">
        <v>2116</v>
      </c>
      <c r="D247" s="21" t="s">
        <v>2117</v>
      </c>
      <c r="E247" s="21" t="s">
        <v>2118</v>
      </c>
      <c r="F247" s="19">
        <v>14150</v>
      </c>
      <c r="G247" s="21" t="s">
        <v>1313</v>
      </c>
      <c r="H247" s="42" t="s">
        <v>2119</v>
      </c>
      <c r="I247" s="43"/>
      <c r="J247" s="43" t="s">
        <v>2120</v>
      </c>
      <c r="K247" s="44" t="s">
        <v>1316</v>
      </c>
      <c r="L247" s="21" t="s">
        <v>1317</v>
      </c>
      <c r="M247" s="19">
        <f>_xlfn.XLOOKUP(tab_JA[[#This Row],[Code]],Rencontres_N3_PN_Rx[Code_JA],Rencontres_N3_PN_Rx[prest],0,0)</f>
        <v>0</v>
      </c>
      <c r="N247" s="19" t="s">
        <v>36</v>
      </c>
      <c r="P247" s="27">
        <f>SUMIF(Rencontres_N3_PN_Rx[Code_JA],tab_JA[[#This Row],[Code]],Rencontres_N3_PN_Rx[Frais_JA])</f>
        <v>0</v>
      </c>
      <c r="W247" s="31" t="str">
        <f>IF(X247&lt;&gt;"",_xlfn.XLOOKUP(X247,tab_JA[Code],tab_JA[N_licence],"so"),"")</f>
        <v/>
      </c>
      <c r="X247" s="32"/>
      <c r="AA247" s="33" t="s">
        <v>2552</v>
      </c>
      <c r="AB247" s="33" t="s">
        <v>2552</v>
      </c>
      <c r="AC247" s="33" t="s">
        <v>2552</v>
      </c>
      <c r="AD247" s="34" t="str">
        <f>IF(X247&lt;&gt;"",SUMIF(Rencontres_N3_PN_Rx[Code_JA],X247,Rencontres_N3_PN_Rx[Frais_JA])-SUMIF(Rencontres_N3_PN_Rx[Code_JA],X247,Rencontres_N3_PN_Rx[frais defiscalisable]),"")</f>
        <v/>
      </c>
      <c r="AE247" s="121" t="str">
        <f>IF(X247&lt;&gt;"",SUMIF(Rencontres_N3_PN_Rx[Code_JA],X247,Rencontres_N3_PN_Rx[frais defiscalisable]),"")</f>
        <v/>
      </c>
    </row>
    <row r="248" spans="1:31" ht="15" customHeight="1" x14ac:dyDescent="0.25">
      <c r="A248" s="19" t="s">
        <v>2136</v>
      </c>
      <c r="B248" s="20" t="s">
        <v>2137</v>
      </c>
      <c r="C248" s="21" t="s">
        <v>2138</v>
      </c>
      <c r="D248" s="21" t="s">
        <v>2139</v>
      </c>
      <c r="E248" s="21" t="s">
        <v>2140</v>
      </c>
      <c r="F248" s="19">
        <v>27120</v>
      </c>
      <c r="G248" s="21" t="s">
        <v>2141</v>
      </c>
      <c r="H248" s="42" t="s">
        <v>2142</v>
      </c>
      <c r="I248" s="43" t="s">
        <v>2143</v>
      </c>
      <c r="J248" s="43" t="s">
        <v>2144</v>
      </c>
      <c r="K248" s="44" t="s">
        <v>2145</v>
      </c>
      <c r="L248" s="21" t="s">
        <v>2146</v>
      </c>
      <c r="M248" s="19">
        <f>_xlfn.XLOOKUP(tab_JA[[#This Row],[Code]],Rencontres_N3_PN_Rx[Code_JA],Rencontres_N3_PN_Rx[prest],0,0)</f>
        <v>0</v>
      </c>
      <c r="N248" s="19" t="s">
        <v>36</v>
      </c>
      <c r="P248" s="27">
        <f>SUMIF(Rencontres_N3_PN_Rx[Code_JA],tab_JA[[#This Row],[Code]],Rencontres_N3_PN_Rx[Frais_JA])</f>
        <v>0</v>
      </c>
      <c r="W248" s="31" t="str">
        <f>IF(X248&lt;&gt;"",_xlfn.XLOOKUP(X248,tab_JA[Code],tab_JA[N_licence],"so"),"")</f>
        <v/>
      </c>
      <c r="X248" s="32"/>
      <c r="AA248" s="33" t="s">
        <v>2552</v>
      </c>
      <c r="AB248" s="33" t="s">
        <v>2552</v>
      </c>
      <c r="AC248" s="33" t="s">
        <v>2552</v>
      </c>
      <c r="AD248" s="34" t="str">
        <f>IF(X248&lt;&gt;"",SUMIF(Rencontres_N3_PN_Rx[Code_JA],X248,Rencontres_N3_PN_Rx[Frais_JA])-SUMIF(Rencontres_N3_PN_Rx[Code_JA],X248,Rencontres_N3_PN_Rx[frais defiscalisable]),"")</f>
        <v/>
      </c>
      <c r="AE248" s="121" t="str">
        <f>IF(X248&lt;&gt;"",SUMIF(Rencontres_N3_PN_Rx[Code_JA],X248,Rencontres_N3_PN_Rx[frais defiscalisable]),"")</f>
        <v/>
      </c>
    </row>
    <row r="249" spans="1:31" ht="15" customHeight="1" x14ac:dyDescent="0.25">
      <c r="A249" s="19" t="s">
        <v>2147</v>
      </c>
      <c r="B249" s="20" t="s">
        <v>2148</v>
      </c>
      <c r="C249" s="21" t="s">
        <v>2149</v>
      </c>
      <c r="D249" s="21" t="s">
        <v>2150</v>
      </c>
      <c r="E249" s="21" t="s">
        <v>2151</v>
      </c>
      <c r="F249" s="19">
        <v>14500</v>
      </c>
      <c r="G249" s="21" t="s">
        <v>1435</v>
      </c>
      <c r="H249" s="42" t="s">
        <v>2152</v>
      </c>
      <c r="I249" s="43"/>
      <c r="J249" s="43" t="s">
        <v>2153</v>
      </c>
      <c r="K249" s="44" t="s">
        <v>1439</v>
      </c>
      <c r="L249" s="21" t="s">
        <v>1440</v>
      </c>
      <c r="M249" s="19">
        <f>_xlfn.XLOOKUP(tab_JA[[#This Row],[Code]],Rencontres_N3_PN_Rx[Code_JA],Rencontres_N3_PN_Rx[prest],0,0)</f>
        <v>0</v>
      </c>
      <c r="N249" s="19" t="s">
        <v>36</v>
      </c>
      <c r="P249" s="27">
        <f>SUMIF(Rencontres_N3_PN_Rx[Code_JA],tab_JA[[#This Row],[Code]],Rencontres_N3_PN_Rx[Frais_JA])</f>
        <v>0</v>
      </c>
      <c r="W249" s="31" t="str">
        <f>IF(X249&lt;&gt;"",_xlfn.XLOOKUP(X249,tab_JA[Code],tab_JA[N_licence],"so"),"")</f>
        <v/>
      </c>
      <c r="X249" s="32"/>
      <c r="AA249" s="33" t="s">
        <v>2552</v>
      </c>
      <c r="AB249" s="33" t="s">
        <v>2552</v>
      </c>
      <c r="AC249" s="33" t="s">
        <v>2552</v>
      </c>
      <c r="AD249" s="34" t="str">
        <f>IF(X249&lt;&gt;"",SUMIF(Rencontres_N3_PN_Rx[Code_JA],X249,Rencontres_N3_PN_Rx[Frais_JA])-SUMIF(Rencontres_N3_PN_Rx[Code_JA],X249,Rencontres_N3_PN_Rx[frais defiscalisable]),"")</f>
        <v/>
      </c>
      <c r="AE249" s="121" t="str">
        <f>IF(X249&lt;&gt;"",SUMIF(Rencontres_N3_PN_Rx[Code_JA],X249,Rencontres_N3_PN_Rx[frais defiscalisable]),"")</f>
        <v/>
      </c>
    </row>
    <row r="250" spans="1:31" ht="15" customHeight="1" x14ac:dyDescent="0.25">
      <c r="A250" s="19" t="s">
        <v>2154</v>
      </c>
      <c r="B250" s="20" t="s">
        <v>2155</v>
      </c>
      <c r="C250" s="21" t="s">
        <v>2156</v>
      </c>
      <c r="D250" s="21" t="s">
        <v>1947</v>
      </c>
      <c r="E250" s="21" t="s">
        <v>2157</v>
      </c>
      <c r="F250" s="19">
        <v>14000</v>
      </c>
      <c r="G250" s="21" t="s">
        <v>63</v>
      </c>
      <c r="H250" s="42" t="s">
        <v>2158</v>
      </c>
      <c r="I250" s="43"/>
      <c r="J250" s="43" t="s">
        <v>2159</v>
      </c>
      <c r="K250" s="44" t="s">
        <v>66</v>
      </c>
      <c r="L250" s="21" t="s">
        <v>67</v>
      </c>
      <c r="M250" s="19">
        <f>_xlfn.XLOOKUP(tab_JA[[#This Row],[Code]],Rencontres_N3_PN_Rx[Code_JA],Rencontres_N3_PN_Rx[prest],0,0)</f>
        <v>0</v>
      </c>
      <c r="N250" s="19" t="s">
        <v>36</v>
      </c>
      <c r="P250" s="27">
        <f>SUMIF(Rencontres_N3_PN_Rx[Code_JA],tab_JA[[#This Row],[Code]],Rencontres_N3_PN_Rx[Frais_JA])</f>
        <v>0</v>
      </c>
      <c r="W250" s="31" t="str">
        <f>IF(X250&lt;&gt;"",_xlfn.XLOOKUP(X250,tab_JA[Code],tab_JA[N_licence],"so"),"")</f>
        <v/>
      </c>
      <c r="X250" s="32"/>
      <c r="AA250" s="33" t="s">
        <v>2552</v>
      </c>
      <c r="AB250" s="33" t="s">
        <v>2552</v>
      </c>
      <c r="AC250" s="33" t="s">
        <v>2552</v>
      </c>
      <c r="AD250" s="34" t="str">
        <f>IF(X250&lt;&gt;"",SUMIF(Rencontres_N3_PN_Rx[Code_JA],X250,Rencontres_N3_PN_Rx[Frais_JA])-SUMIF(Rencontres_N3_PN_Rx[Code_JA],X250,Rencontres_N3_PN_Rx[frais defiscalisable]),"")</f>
        <v/>
      </c>
      <c r="AE250" s="121" t="str">
        <f>IF(X250&lt;&gt;"",SUMIF(Rencontres_N3_PN_Rx[Code_JA],X250,Rencontres_N3_PN_Rx[frais defiscalisable]),"")</f>
        <v/>
      </c>
    </row>
    <row r="251" spans="1:31" ht="15" customHeight="1" x14ac:dyDescent="0.25">
      <c r="A251" s="19" t="s">
        <v>2160</v>
      </c>
      <c r="B251" s="46" t="s">
        <v>2161</v>
      </c>
      <c r="C251" s="21" t="s">
        <v>2162</v>
      </c>
      <c r="D251" s="21" t="s">
        <v>2163</v>
      </c>
      <c r="E251" s="21" t="s">
        <v>2164</v>
      </c>
      <c r="F251" s="19">
        <v>76230</v>
      </c>
      <c r="G251" s="21" t="s">
        <v>114</v>
      </c>
      <c r="H251" s="42" t="s">
        <v>2165</v>
      </c>
      <c r="I251" s="43" t="s">
        <v>2166</v>
      </c>
      <c r="J251" s="43" t="s">
        <v>2166</v>
      </c>
      <c r="K251" s="45" t="s">
        <v>117</v>
      </c>
      <c r="L251" s="21" t="s">
        <v>118</v>
      </c>
      <c r="M251" s="19">
        <f>_xlfn.XLOOKUP(tab_JA[[#This Row],[Code]],Rencontres_N3_PN_Rx[Code_JA],Rencontres_N3_PN_Rx[prest],0,0)</f>
        <v>0</v>
      </c>
      <c r="N251" s="19" t="s">
        <v>36</v>
      </c>
      <c r="P251" s="27">
        <f>SUMIF(Rencontres_N3_PN_Rx[Code_JA],tab_JA[[#This Row],[Code]],Rencontres_N3_PN_Rx[Frais_JA])</f>
        <v>0</v>
      </c>
      <c r="W251" s="31" t="str">
        <f>IF(X251&lt;&gt;"",_xlfn.XLOOKUP(X251,tab_JA[Code],tab_JA[N_licence],"so"),"")</f>
        <v/>
      </c>
      <c r="X251" s="32"/>
      <c r="AA251" s="33" t="s">
        <v>2552</v>
      </c>
      <c r="AB251" s="33" t="s">
        <v>2552</v>
      </c>
      <c r="AC251" s="33" t="s">
        <v>2552</v>
      </c>
      <c r="AD251" s="34" t="str">
        <f>IF(X251&lt;&gt;"",SUMIF(Rencontres_N3_PN_Rx[Code_JA],X251,Rencontres_N3_PN_Rx[Frais_JA])-SUMIF(Rencontres_N3_PN_Rx[Code_JA],X251,Rencontres_N3_PN_Rx[frais defiscalisable]),"")</f>
        <v/>
      </c>
      <c r="AE251" s="121" t="str">
        <f>IF(X251&lt;&gt;"",SUMIF(Rencontres_N3_PN_Rx[Code_JA],X251,Rencontres_N3_PN_Rx[frais defiscalisable]),"")</f>
        <v/>
      </c>
    </row>
    <row r="252" spans="1:31" ht="15" customHeight="1" x14ac:dyDescent="0.25">
      <c r="A252" s="19" t="s">
        <v>2167</v>
      </c>
      <c r="B252" s="20" t="s">
        <v>2168</v>
      </c>
      <c r="C252" s="21" t="s">
        <v>2169</v>
      </c>
      <c r="D252" s="21" t="s">
        <v>919</v>
      </c>
      <c r="E252" s="21" t="s">
        <v>2170</v>
      </c>
      <c r="F252" s="19">
        <v>14840</v>
      </c>
      <c r="G252" s="21" t="s">
        <v>2171</v>
      </c>
      <c r="H252" s="42" t="s">
        <v>2172</v>
      </c>
      <c r="I252" s="43"/>
      <c r="J252" s="43"/>
      <c r="K252" s="44" t="s">
        <v>538</v>
      </c>
      <c r="L252" s="21" t="s">
        <v>539</v>
      </c>
      <c r="M252" s="19">
        <f>_xlfn.XLOOKUP(tab_JA[[#This Row],[Code]],Rencontres_N3_PN_Rx[Code_JA],Rencontres_N3_PN_Rx[prest],0,0)</f>
        <v>0</v>
      </c>
      <c r="N252" s="19" t="s">
        <v>36</v>
      </c>
      <c r="P252" s="27">
        <f>SUMIF(Rencontres_N3_PN_Rx[Code_JA],tab_JA[[#This Row],[Code]],Rencontres_N3_PN_Rx[Frais_JA])</f>
        <v>0</v>
      </c>
      <c r="W252" s="31" t="str">
        <f>IF(X252&lt;&gt;"",_xlfn.XLOOKUP(X252,tab_JA[Code],tab_JA[N_licence],"so"),"")</f>
        <v/>
      </c>
      <c r="X252" s="32"/>
      <c r="AA252" s="33" t="s">
        <v>2552</v>
      </c>
      <c r="AB252" s="33" t="s">
        <v>2552</v>
      </c>
      <c r="AC252" s="33" t="s">
        <v>2552</v>
      </c>
      <c r="AD252" s="34" t="str">
        <f>IF(X252&lt;&gt;"",SUMIF(Rencontres_N3_PN_Rx[Code_JA],X252,Rencontres_N3_PN_Rx[Frais_JA])-SUMIF(Rencontres_N3_PN_Rx[Code_JA],X252,Rencontres_N3_PN_Rx[frais defiscalisable]),"")</f>
        <v/>
      </c>
      <c r="AE252" s="121" t="str">
        <f>IF(X252&lt;&gt;"",SUMIF(Rencontres_N3_PN_Rx[Code_JA],X252,Rencontres_N3_PN_Rx[frais defiscalisable]),"")</f>
        <v/>
      </c>
    </row>
    <row r="253" spans="1:31" ht="15" customHeight="1" x14ac:dyDescent="0.25">
      <c r="A253" s="19" t="s">
        <v>1698</v>
      </c>
      <c r="B253" s="20" t="s">
        <v>1699</v>
      </c>
      <c r="C253" s="21" t="s">
        <v>1693</v>
      </c>
      <c r="D253" s="21" t="s">
        <v>1700</v>
      </c>
      <c r="E253" s="21" t="s">
        <v>1701</v>
      </c>
      <c r="F253" s="19">
        <v>50140</v>
      </c>
      <c r="G253" s="21" t="s">
        <v>1702</v>
      </c>
      <c r="H253" s="42" t="s">
        <v>1703</v>
      </c>
      <c r="I253" s="43" t="s">
        <v>1704</v>
      </c>
      <c r="J253" s="43" t="s">
        <v>1705</v>
      </c>
      <c r="K253" s="44" t="s">
        <v>813</v>
      </c>
      <c r="L253" s="21" t="s">
        <v>814</v>
      </c>
      <c r="M253" s="19">
        <f>_xlfn.XLOOKUP(tab_JA[[#This Row],[Code]],Rencontres_N3_PN_Rx[Code_JA],Rencontres_N3_PN_Rx[prest],0,0)</f>
        <v>2</v>
      </c>
      <c r="N253" s="19" t="s">
        <v>36</v>
      </c>
      <c r="P253" s="27">
        <f>SUMIF(Rencontres_N3_PN_Rx[Code_JA],tab_JA[[#This Row],[Code]],Rencontres_N3_PN_Rx[Frais_JA])</f>
        <v>120.8</v>
      </c>
      <c r="W253" s="31" t="str">
        <f>IF(X253&lt;&gt;"",_xlfn.XLOOKUP(X253,tab_JA[Code],tab_JA[N_licence],"so"),"")</f>
        <v/>
      </c>
      <c r="X253" s="32"/>
      <c r="AA253" s="33" t="s">
        <v>2552</v>
      </c>
      <c r="AB253" s="33" t="s">
        <v>2552</v>
      </c>
      <c r="AC253" s="33" t="s">
        <v>2552</v>
      </c>
      <c r="AD253" s="34" t="str">
        <f>IF(X253&lt;&gt;"",SUMIF(Rencontres_N3_PN_Rx[Code_JA],X253,Rencontres_N3_PN_Rx[Frais_JA])-SUMIF(Rencontres_N3_PN_Rx[Code_JA],X253,Rencontres_N3_PN_Rx[frais defiscalisable]),"")</f>
        <v/>
      </c>
      <c r="AE253" s="121" t="str">
        <f>IF(X253&lt;&gt;"",SUMIF(Rencontres_N3_PN_Rx[Code_JA],X253,Rencontres_N3_PN_Rx[frais defiscalisable]),"")</f>
        <v/>
      </c>
    </row>
    <row r="254" spans="1:31" ht="15" customHeight="1" x14ac:dyDescent="0.25">
      <c r="A254" s="19" t="s">
        <v>2173</v>
      </c>
      <c r="B254" s="20" t="s">
        <v>2174</v>
      </c>
      <c r="C254" s="21" t="s">
        <v>2175</v>
      </c>
      <c r="D254" s="21" t="s">
        <v>61</v>
      </c>
      <c r="E254" s="21" t="s">
        <v>2176</v>
      </c>
      <c r="F254" s="19">
        <v>14210</v>
      </c>
      <c r="G254" s="21" t="s">
        <v>2177</v>
      </c>
      <c r="H254" s="42" t="s">
        <v>2178</v>
      </c>
      <c r="I254" s="43" t="s">
        <v>2179</v>
      </c>
      <c r="J254" s="43" t="s">
        <v>2180</v>
      </c>
      <c r="K254" s="44" t="s">
        <v>1316</v>
      </c>
      <c r="L254" s="21" t="s">
        <v>1317</v>
      </c>
      <c r="M254" s="19">
        <f>_xlfn.XLOOKUP(tab_JA[[#This Row],[Code]],Rencontres_N3_PN_Rx[Code_JA],Rencontres_N3_PN_Rx[prest],0,0)</f>
        <v>0</v>
      </c>
      <c r="N254" s="19" t="s">
        <v>36</v>
      </c>
      <c r="P254" s="27">
        <f>SUMIF(Rencontres_N3_PN_Rx[Code_JA],tab_JA[[#This Row],[Code]],Rencontres_N3_PN_Rx[Frais_JA])</f>
        <v>0</v>
      </c>
      <c r="W254" s="31" t="str">
        <f>IF(X254&lt;&gt;"",_xlfn.XLOOKUP(X254,tab_JA[Code],tab_JA[N_licence],"so"),"")</f>
        <v/>
      </c>
      <c r="X254" s="32"/>
      <c r="AA254" s="33" t="s">
        <v>2552</v>
      </c>
      <c r="AB254" s="33" t="s">
        <v>2552</v>
      </c>
      <c r="AC254" s="33" t="s">
        <v>2552</v>
      </c>
      <c r="AD254" s="34" t="str">
        <f>IF(X254&lt;&gt;"",SUMIF(Rencontres_N3_PN_Rx[Code_JA],X254,Rencontres_N3_PN_Rx[Frais_JA])-SUMIF(Rencontres_N3_PN_Rx[Code_JA],X254,Rencontres_N3_PN_Rx[frais defiscalisable]),"")</f>
        <v/>
      </c>
      <c r="AE254" s="121" t="str">
        <f>IF(X254&lt;&gt;"",SUMIF(Rencontres_N3_PN_Rx[Code_JA],X254,Rencontres_N3_PN_Rx[frais defiscalisable]),"")</f>
        <v/>
      </c>
    </row>
    <row r="255" spans="1:31" ht="15" customHeight="1" x14ac:dyDescent="0.25">
      <c r="A255" s="19" t="s">
        <v>2181</v>
      </c>
      <c r="B255" s="20" t="s">
        <v>2182</v>
      </c>
      <c r="C255" s="21" t="s">
        <v>2183</v>
      </c>
      <c r="D255" s="21" t="s">
        <v>93</v>
      </c>
      <c r="E255" s="21" t="s">
        <v>2184</v>
      </c>
      <c r="F255" s="19">
        <v>14500</v>
      </c>
      <c r="G255" s="21" t="s">
        <v>2185</v>
      </c>
      <c r="H255" s="42" t="s">
        <v>2186</v>
      </c>
      <c r="I255" s="43" t="s">
        <v>2187</v>
      </c>
      <c r="J255" s="43" t="s">
        <v>2188</v>
      </c>
      <c r="K255" s="44" t="s">
        <v>1439</v>
      </c>
      <c r="L255" s="21" t="s">
        <v>1440</v>
      </c>
      <c r="M255" s="19">
        <f>_xlfn.XLOOKUP(tab_JA[[#This Row],[Code]],Rencontres_N3_PN_Rx[Code_JA],Rencontres_N3_PN_Rx[prest],0,0)</f>
        <v>0</v>
      </c>
      <c r="N255" s="19" t="s">
        <v>36</v>
      </c>
      <c r="P255" s="27">
        <f>SUMIF(Rencontres_N3_PN_Rx[Code_JA],tab_JA[[#This Row],[Code]],Rencontres_N3_PN_Rx[Frais_JA])</f>
        <v>0</v>
      </c>
      <c r="W255" s="31" t="str">
        <f>IF(X255&lt;&gt;"",_xlfn.XLOOKUP(X255,tab_JA[Code],tab_JA[N_licence],"so"),"")</f>
        <v/>
      </c>
      <c r="X255" s="32"/>
      <c r="AA255" s="33" t="s">
        <v>2552</v>
      </c>
      <c r="AB255" s="33" t="s">
        <v>2552</v>
      </c>
      <c r="AC255" s="33" t="s">
        <v>2552</v>
      </c>
      <c r="AD255" s="34" t="str">
        <f>IF(X255&lt;&gt;"",SUMIF(Rencontres_N3_PN_Rx[Code_JA],X255,Rencontres_N3_PN_Rx[Frais_JA])-SUMIF(Rencontres_N3_PN_Rx[Code_JA],X255,Rencontres_N3_PN_Rx[frais defiscalisable]),"")</f>
        <v/>
      </c>
      <c r="AE255" s="121" t="str">
        <f>IF(X255&lt;&gt;"",SUMIF(Rencontres_N3_PN_Rx[Code_JA],X255,Rencontres_N3_PN_Rx[frais defiscalisable]),"")</f>
        <v/>
      </c>
    </row>
    <row r="256" spans="1:31" ht="15" customHeight="1" x14ac:dyDescent="0.25">
      <c r="A256" s="19" t="s">
        <v>2189</v>
      </c>
      <c r="B256" s="20" t="s">
        <v>2190</v>
      </c>
      <c r="C256" s="21" t="s">
        <v>2191</v>
      </c>
      <c r="D256" s="21" t="s">
        <v>808</v>
      </c>
      <c r="E256" s="21" t="s">
        <v>2192</v>
      </c>
      <c r="F256" s="19">
        <v>61430</v>
      </c>
      <c r="G256" s="21" t="s">
        <v>2193</v>
      </c>
      <c r="H256" s="42" t="s">
        <v>2194</v>
      </c>
      <c r="I256" s="43" t="s">
        <v>2195</v>
      </c>
      <c r="J256" s="43" t="s">
        <v>2196</v>
      </c>
      <c r="K256" s="44" t="s">
        <v>1133</v>
      </c>
      <c r="L256" s="21" t="s">
        <v>1134</v>
      </c>
      <c r="M256" s="19">
        <f>_xlfn.XLOOKUP(tab_JA[[#This Row],[Code]],Rencontres_N3_PN_Rx[Code_JA],Rencontres_N3_PN_Rx[prest],0,0)</f>
        <v>0</v>
      </c>
      <c r="N256" s="19" t="s">
        <v>36</v>
      </c>
      <c r="P256" s="27">
        <f>SUMIF(Rencontres_N3_PN_Rx[Code_JA],tab_JA[[#This Row],[Code]],Rencontres_N3_PN_Rx[Frais_JA])</f>
        <v>0</v>
      </c>
      <c r="W256" s="31" t="str">
        <f>IF(X256&lt;&gt;"",_xlfn.XLOOKUP(X256,tab_JA[Code],tab_JA[N_licence],"so"),"")</f>
        <v/>
      </c>
      <c r="X256" s="32"/>
      <c r="AA256" s="33" t="s">
        <v>2552</v>
      </c>
      <c r="AB256" s="33" t="s">
        <v>2552</v>
      </c>
      <c r="AC256" s="33" t="s">
        <v>2552</v>
      </c>
      <c r="AD256" s="34" t="str">
        <f>IF(X256&lt;&gt;"",SUMIF(Rencontres_N3_PN_Rx[Code_JA],X256,Rencontres_N3_PN_Rx[Frais_JA])-SUMIF(Rencontres_N3_PN_Rx[Code_JA],X256,Rencontres_N3_PN_Rx[frais defiscalisable]),"")</f>
        <v/>
      </c>
      <c r="AE256" s="121" t="str">
        <f>IF(X256&lt;&gt;"",SUMIF(Rencontres_N3_PN_Rx[Code_JA],X256,Rencontres_N3_PN_Rx[frais defiscalisable]),"")</f>
        <v/>
      </c>
    </row>
    <row r="257" spans="1:31" ht="15" customHeight="1" x14ac:dyDescent="0.25">
      <c r="A257" s="19" t="s">
        <v>2203</v>
      </c>
      <c r="B257" s="20" t="s">
        <v>2204</v>
      </c>
      <c r="C257" s="21" t="s">
        <v>2205</v>
      </c>
      <c r="D257" s="21" t="s">
        <v>2206</v>
      </c>
      <c r="E257" s="21" t="s">
        <v>2207</v>
      </c>
      <c r="F257" s="19">
        <v>28270</v>
      </c>
      <c r="G257" s="21" t="s">
        <v>2208</v>
      </c>
      <c r="H257" s="42" t="s">
        <v>2209</v>
      </c>
      <c r="I257" s="43" t="s">
        <v>2210</v>
      </c>
      <c r="J257" s="43" t="s">
        <v>2210</v>
      </c>
      <c r="K257" s="44" t="s">
        <v>367</v>
      </c>
      <c r="L257" s="21" t="s">
        <v>368</v>
      </c>
      <c r="M257" s="19">
        <f>_xlfn.XLOOKUP(tab_JA[[#This Row],[Code]],Rencontres_N3_PN_Rx[Code_JA],Rencontres_N3_PN_Rx[prest],0,0)</f>
        <v>0</v>
      </c>
      <c r="N257" s="19" t="s">
        <v>36</v>
      </c>
      <c r="P257" s="27">
        <f>SUMIF(Rencontres_N3_PN_Rx[Code_JA],tab_JA[[#This Row],[Code]],Rencontres_N3_PN_Rx[Frais_JA])</f>
        <v>0</v>
      </c>
      <c r="W257" s="31" t="str">
        <f>IF(X257&lt;&gt;"",_xlfn.XLOOKUP(X257,tab_JA[Code],tab_JA[N_licence],"so"),"")</f>
        <v/>
      </c>
      <c r="X257" s="32"/>
      <c r="AA257" s="33" t="s">
        <v>2552</v>
      </c>
      <c r="AB257" s="33" t="s">
        <v>2552</v>
      </c>
      <c r="AC257" s="33" t="s">
        <v>2552</v>
      </c>
      <c r="AD257" s="34" t="str">
        <f>IF(X257&lt;&gt;"",SUMIF(Rencontres_N3_PN_Rx[Code_JA],X257,Rencontres_N3_PN_Rx[Frais_JA])-SUMIF(Rencontres_N3_PN_Rx[Code_JA],X257,Rencontres_N3_PN_Rx[frais defiscalisable]),"")</f>
        <v/>
      </c>
      <c r="AE257" s="121" t="str">
        <f>IF(X257&lt;&gt;"",SUMIF(Rencontres_N3_PN_Rx[Code_JA],X257,Rencontres_N3_PN_Rx[frais defiscalisable]),"")</f>
        <v/>
      </c>
    </row>
    <row r="258" spans="1:31" x14ac:dyDescent="0.25">
      <c r="A258" s="19" t="s">
        <v>2211</v>
      </c>
      <c r="B258" s="20" t="s">
        <v>2212</v>
      </c>
      <c r="C258" s="21" t="s">
        <v>2213</v>
      </c>
      <c r="D258" s="21" t="s">
        <v>2214</v>
      </c>
      <c r="E258" s="21" t="s">
        <v>2215</v>
      </c>
      <c r="F258" s="19">
        <v>14140</v>
      </c>
      <c r="G258" s="21" t="s">
        <v>2216</v>
      </c>
      <c r="H258" s="42" t="s">
        <v>2217</v>
      </c>
      <c r="I258" s="43"/>
      <c r="J258" s="43" t="s">
        <v>2218</v>
      </c>
      <c r="K258" s="44" t="s">
        <v>2219</v>
      </c>
      <c r="L258" s="21" t="s">
        <v>2220</v>
      </c>
      <c r="M258" s="19">
        <f>_xlfn.XLOOKUP(tab_JA[[#This Row],[Code]],Rencontres_N3_PN_Rx[Code_JA],Rencontres_N3_PN_Rx[prest],0,0)</f>
        <v>0</v>
      </c>
      <c r="N258" s="19" t="s">
        <v>36</v>
      </c>
      <c r="P258" s="27">
        <f>SUMIF(Rencontres_N3_PN_Rx[Code_JA],tab_JA[[#This Row],[Code]],Rencontres_N3_PN_Rx[Frais_JA])</f>
        <v>0</v>
      </c>
      <c r="W258" s="31" t="str">
        <f>IF(X258&lt;&gt;"",_xlfn.XLOOKUP(X258,tab_JA[Code],tab_JA[N_licence],"so"),"")</f>
        <v/>
      </c>
      <c r="X258" s="32"/>
      <c r="AA258" s="33" t="s">
        <v>2552</v>
      </c>
      <c r="AB258" s="33" t="s">
        <v>2552</v>
      </c>
      <c r="AC258" s="33" t="s">
        <v>2552</v>
      </c>
      <c r="AD258" s="34" t="str">
        <f>IF(X258&lt;&gt;"",SUMIF(Rencontres_N3_PN_Rx[Code_JA],X258,Rencontres_N3_PN_Rx[Frais_JA])-SUMIF(Rencontres_N3_PN_Rx[Code_JA],X258,Rencontres_N3_PN_Rx[frais defiscalisable]),"")</f>
        <v/>
      </c>
      <c r="AE258" s="121" t="str">
        <f>IF(X258&lt;&gt;"",SUMIF(Rencontres_N3_PN_Rx[Code_JA],X258,Rencontres_N3_PN_Rx[frais defiscalisable]),"")</f>
        <v/>
      </c>
    </row>
    <row r="259" spans="1:31" x14ac:dyDescent="0.25">
      <c r="A259" s="19" t="s">
        <v>2197</v>
      </c>
      <c r="B259" s="20" t="s">
        <v>2198</v>
      </c>
      <c r="C259" s="21" t="s">
        <v>2199</v>
      </c>
      <c r="D259" s="21" t="s">
        <v>310</v>
      </c>
      <c r="E259" s="21" t="s">
        <v>2200</v>
      </c>
      <c r="F259" s="19">
        <v>50100</v>
      </c>
      <c r="G259" s="21" t="s">
        <v>732</v>
      </c>
      <c r="H259" s="42" t="s">
        <v>2201</v>
      </c>
      <c r="I259" s="43" t="s">
        <v>2202</v>
      </c>
      <c r="J259" s="43" t="s">
        <v>2202</v>
      </c>
      <c r="K259" s="44" t="s">
        <v>2063</v>
      </c>
      <c r="L259" s="21" t="s">
        <v>2064</v>
      </c>
      <c r="M259" s="19">
        <f>_xlfn.XLOOKUP(tab_JA[[#This Row],[Code]],Rencontres_N3_PN_Rx[Code_JA],Rencontres_N3_PN_Rx[prest],0,0)</f>
        <v>9</v>
      </c>
      <c r="N259" s="19" t="s">
        <v>36</v>
      </c>
      <c r="P259" s="27">
        <f>SUMIF(Rencontres_N3_PN_Rx[Code_JA],tab_JA[[#This Row],[Code]],Rencontres_N3_PN_Rx[Frais_JA])</f>
        <v>206</v>
      </c>
      <c r="W259" s="31" t="str">
        <f>IF(X259&lt;&gt;"",_xlfn.XLOOKUP(X259,tab_JA[Code],tab_JA[N_licence],"so"),"")</f>
        <v/>
      </c>
      <c r="X259" s="32"/>
      <c r="AA259" s="33" t="s">
        <v>2552</v>
      </c>
      <c r="AB259" s="33" t="s">
        <v>2552</v>
      </c>
      <c r="AC259" s="33" t="s">
        <v>2552</v>
      </c>
      <c r="AD259" s="34" t="str">
        <f>IF(X259&lt;&gt;"",SUMIF(Rencontres_N3_PN_Rx[Code_JA],X259,Rencontres_N3_PN_Rx[Frais_JA])-SUMIF(Rencontres_N3_PN_Rx[Code_JA],X259,Rencontres_N3_PN_Rx[frais defiscalisable]),"")</f>
        <v/>
      </c>
      <c r="AE259" s="121" t="str">
        <f>IF(X259&lt;&gt;"",SUMIF(Rencontres_N3_PN_Rx[Code_JA],X259,Rencontres_N3_PN_Rx[frais defiscalisable]),"")</f>
        <v/>
      </c>
    </row>
    <row r="260" spans="1:31" x14ac:dyDescent="0.25">
      <c r="A260" s="19" t="s">
        <v>2221</v>
      </c>
      <c r="B260" s="20" t="s">
        <v>2222</v>
      </c>
      <c r="C260" s="21" t="s">
        <v>2223</v>
      </c>
      <c r="D260" s="21" t="s">
        <v>591</v>
      </c>
      <c r="E260" s="21" t="s">
        <v>2224</v>
      </c>
      <c r="F260" s="19">
        <v>14160</v>
      </c>
      <c r="G260" s="21" t="s">
        <v>2225</v>
      </c>
      <c r="H260" s="42" t="s">
        <v>2226</v>
      </c>
      <c r="I260" s="43" t="s">
        <v>2227</v>
      </c>
      <c r="J260" s="43"/>
      <c r="K260" s="44" t="s">
        <v>864</v>
      </c>
      <c r="L260" s="21" t="s">
        <v>865</v>
      </c>
      <c r="M260" s="19">
        <f>_xlfn.XLOOKUP(tab_JA[[#This Row],[Code]],Rencontres_N3_PN_Rx[Code_JA],Rencontres_N3_PN_Rx[prest],0,0)</f>
        <v>0</v>
      </c>
      <c r="N260" s="19" t="s">
        <v>36</v>
      </c>
      <c r="P260" s="27">
        <f>SUMIF(Rencontres_N3_PN_Rx[Code_JA],tab_JA[[#This Row],[Code]],Rencontres_N3_PN_Rx[Frais_JA])</f>
        <v>0</v>
      </c>
      <c r="W260" s="31" t="str">
        <f>IF(X260&lt;&gt;"",_xlfn.XLOOKUP(X260,tab_JA[Code],tab_JA[N_licence],"so"),"")</f>
        <v/>
      </c>
      <c r="X260" s="32"/>
      <c r="AA260" s="33" t="s">
        <v>2552</v>
      </c>
      <c r="AB260" s="33" t="s">
        <v>2552</v>
      </c>
      <c r="AC260" s="33" t="s">
        <v>2552</v>
      </c>
      <c r="AD260" s="34" t="str">
        <f>IF(X260&lt;&gt;"",SUMIF(Rencontres_N3_PN_Rx[Code_JA],X260,Rencontres_N3_PN_Rx[Frais_JA])-SUMIF(Rencontres_N3_PN_Rx[Code_JA],X260,Rencontres_N3_PN_Rx[frais defiscalisable]),"")</f>
        <v/>
      </c>
      <c r="AE260" s="121" t="str">
        <f>IF(X260&lt;&gt;"",SUMIF(Rencontres_N3_PN_Rx[Code_JA],X260,Rencontres_N3_PN_Rx[frais defiscalisable]),"")</f>
        <v/>
      </c>
    </row>
    <row r="261" spans="1:31" x14ac:dyDescent="0.25">
      <c r="A261" s="19" t="s">
        <v>2228</v>
      </c>
      <c r="B261" s="20" t="s">
        <v>2229</v>
      </c>
      <c r="C261" s="21" t="s">
        <v>2230</v>
      </c>
      <c r="D261" s="21" t="s">
        <v>310</v>
      </c>
      <c r="E261" s="21" t="s">
        <v>2231</v>
      </c>
      <c r="F261" s="19">
        <v>14600</v>
      </c>
      <c r="G261" s="21" t="s">
        <v>2232</v>
      </c>
      <c r="H261" s="42" t="s">
        <v>2233</v>
      </c>
      <c r="I261" s="43" t="s">
        <v>2234</v>
      </c>
      <c r="J261" s="43" t="s">
        <v>2235</v>
      </c>
      <c r="K261" s="44" t="s">
        <v>1414</v>
      </c>
      <c r="L261" s="21" t="s">
        <v>1415</v>
      </c>
      <c r="M261" s="19">
        <f>_xlfn.XLOOKUP(tab_JA[[#This Row],[Code]],Rencontres_N3_PN_Rx[Code_JA],Rencontres_N3_PN_Rx[prest],0,0)</f>
        <v>0</v>
      </c>
      <c r="N261" s="19" t="s">
        <v>36</v>
      </c>
      <c r="P261" s="27">
        <f>SUMIF(Rencontres_N3_PN_Rx[Code_JA],tab_JA[[#This Row],[Code]],Rencontres_N3_PN_Rx[Frais_JA])</f>
        <v>0</v>
      </c>
      <c r="W261" s="31" t="str">
        <f>IF(X261&lt;&gt;"",_xlfn.XLOOKUP(X261,tab_JA[Code],tab_JA[N_licence],"so"),"")</f>
        <v/>
      </c>
      <c r="X261" s="32"/>
      <c r="AA261" s="33" t="s">
        <v>2552</v>
      </c>
      <c r="AB261" s="33" t="s">
        <v>2552</v>
      </c>
      <c r="AC261" s="33" t="s">
        <v>2552</v>
      </c>
      <c r="AD261" s="34" t="str">
        <f>IF(X261&lt;&gt;"",SUMIF(Rencontres_N3_PN_Rx[Code_JA],X261,Rencontres_N3_PN_Rx[Frais_JA])-SUMIF(Rencontres_N3_PN_Rx[Code_JA],X261,Rencontres_N3_PN_Rx[frais defiscalisable]),"")</f>
        <v/>
      </c>
      <c r="AE261" s="121" t="str">
        <f>IF(X261&lt;&gt;"",SUMIF(Rencontres_N3_PN_Rx[Code_JA],X261,Rencontres_N3_PN_Rx[frais defiscalisable]),"")</f>
        <v/>
      </c>
    </row>
    <row r="262" spans="1:31" x14ac:dyDescent="0.25">
      <c r="A262" s="19" t="s">
        <v>2261</v>
      </c>
      <c r="B262" s="46" t="s">
        <v>2262</v>
      </c>
      <c r="C262" s="21" t="s">
        <v>2263</v>
      </c>
      <c r="D262" s="21" t="s">
        <v>438</v>
      </c>
      <c r="E262" s="21" t="s">
        <v>2264</v>
      </c>
      <c r="F262" s="19">
        <v>14140</v>
      </c>
      <c r="G262" s="21" t="s">
        <v>2265</v>
      </c>
      <c r="H262" s="42" t="s">
        <v>2266</v>
      </c>
      <c r="I262" s="43"/>
      <c r="J262" s="43" t="s">
        <v>2267</v>
      </c>
      <c r="K262" s="45" t="s">
        <v>2219</v>
      </c>
      <c r="L262" s="21" t="s">
        <v>2220</v>
      </c>
      <c r="M262" s="19">
        <f>_xlfn.XLOOKUP(tab_JA[[#This Row],[Code]],Rencontres_N3_PN_Rx[Code_JA],Rencontres_N3_PN_Rx[prest],0,0)</f>
        <v>0</v>
      </c>
      <c r="N262" s="19" t="s">
        <v>36</v>
      </c>
      <c r="P262" s="27">
        <f>SUMIF(Rencontres_N3_PN_Rx[Code_JA],tab_JA[[#This Row],[Code]],Rencontres_N3_PN_Rx[Frais_JA])</f>
        <v>0</v>
      </c>
      <c r="W262" s="31" t="str">
        <f>IF(X262&lt;&gt;"",_xlfn.XLOOKUP(X262,tab_JA[Code],tab_JA[N_licence],"so"),"")</f>
        <v/>
      </c>
      <c r="X262" s="32"/>
      <c r="AA262" s="33" t="s">
        <v>2552</v>
      </c>
      <c r="AB262" s="33" t="s">
        <v>2552</v>
      </c>
      <c r="AC262" s="33" t="s">
        <v>2552</v>
      </c>
      <c r="AD262" s="34" t="str">
        <f>IF(X262&lt;&gt;"",SUMIF(Rencontres_N3_PN_Rx[Code_JA],X262,Rencontres_N3_PN_Rx[Frais_JA])-SUMIF(Rencontres_N3_PN_Rx[Code_JA],X262,Rencontres_N3_PN_Rx[frais defiscalisable]),"")</f>
        <v/>
      </c>
      <c r="AE262" s="121" t="str">
        <f>IF(X262&lt;&gt;"",SUMIF(Rencontres_N3_PN_Rx[Code_JA],X262,Rencontres_N3_PN_Rx[frais defiscalisable]),"")</f>
        <v/>
      </c>
    </row>
    <row r="263" spans="1:31" x14ac:dyDescent="0.25">
      <c r="A263" s="19" t="s">
        <v>3332</v>
      </c>
      <c r="B263" s="20" t="s">
        <v>2248</v>
      </c>
      <c r="C263" s="21" t="s">
        <v>2249</v>
      </c>
      <c r="D263" s="21" t="s">
        <v>1908</v>
      </c>
      <c r="E263" s="21" t="s">
        <v>2250</v>
      </c>
      <c r="F263" s="19">
        <v>35420</v>
      </c>
      <c r="G263" s="21" t="s">
        <v>2251</v>
      </c>
      <c r="H263" s="42" t="s">
        <v>2252</v>
      </c>
      <c r="I263" s="43" t="s">
        <v>2253</v>
      </c>
      <c r="J263" s="43"/>
      <c r="K263" s="44" t="s">
        <v>1364</v>
      </c>
      <c r="L263" s="21" t="s">
        <v>1365</v>
      </c>
      <c r="M263" s="19">
        <f>_xlfn.XLOOKUP(tab_JA[[#This Row],[Code]],Rencontres_N3_PN_Rx[Code_JA],Rencontres_N3_PN_Rx[prest],0,0)</f>
        <v>0</v>
      </c>
      <c r="N263" s="19" t="s">
        <v>36</v>
      </c>
      <c r="P263" s="27">
        <f>SUMIF(Rencontres_N3_PN_Rx[Code_JA],tab_JA[[#This Row],[Code]],Rencontres_N3_PN_Rx[Frais_JA])</f>
        <v>0</v>
      </c>
      <c r="W263" s="31" t="str">
        <f>IF(X263&lt;&gt;"",_xlfn.XLOOKUP(X263,tab_JA[Code],tab_JA[N_licence],"so"),"")</f>
        <v/>
      </c>
      <c r="X263" s="32"/>
      <c r="AA263" s="33" t="s">
        <v>2552</v>
      </c>
      <c r="AB263" s="33" t="s">
        <v>2552</v>
      </c>
      <c r="AC263" s="33" t="s">
        <v>2552</v>
      </c>
      <c r="AD263" s="34" t="str">
        <f>IF(X263&lt;&gt;"",SUMIF(Rencontres_N3_PN_Rx[Code_JA],X263,Rencontres_N3_PN_Rx[Frais_JA])-SUMIF(Rencontres_N3_PN_Rx[Code_JA],X263,Rencontres_N3_PN_Rx[frais defiscalisable]),"")</f>
        <v/>
      </c>
      <c r="AE263" s="121" t="str">
        <f>IF(X263&lt;&gt;"",SUMIF(Rencontres_N3_PN_Rx[Code_JA],X263,Rencontres_N3_PN_Rx[frais defiscalisable]),"")</f>
        <v/>
      </c>
    </row>
    <row r="264" spans="1:31" x14ac:dyDescent="0.25">
      <c r="A264" s="19" t="s">
        <v>3331</v>
      </c>
      <c r="B264" s="20" t="s">
        <v>2236</v>
      </c>
      <c r="C264" s="21" t="s">
        <v>2237</v>
      </c>
      <c r="D264" s="21" t="s">
        <v>885</v>
      </c>
      <c r="E264" s="21" t="s">
        <v>2238</v>
      </c>
      <c r="F264" s="19">
        <v>76240</v>
      </c>
      <c r="G264" s="21" t="s">
        <v>781</v>
      </c>
      <c r="H264" s="47" t="s">
        <v>2239</v>
      </c>
      <c r="I264" s="43"/>
      <c r="J264" s="43" t="s">
        <v>2240</v>
      </c>
      <c r="K264" s="44" t="s">
        <v>785</v>
      </c>
      <c r="L264" s="21" t="s">
        <v>786</v>
      </c>
      <c r="M264" s="19">
        <f>_xlfn.XLOOKUP(tab_JA[[#This Row],[Code]],Rencontres_N3_PN_Rx[Code_JA],Rencontres_N3_PN_Rx[prest],0,0)</f>
        <v>0</v>
      </c>
      <c r="N264" s="19" t="s">
        <v>36</v>
      </c>
      <c r="P264" s="27">
        <f>SUMIF(Rencontres_N3_PN_Rx[Code_JA],tab_JA[[#This Row],[Code]],Rencontres_N3_PN_Rx[Frais_JA])</f>
        <v>0</v>
      </c>
      <c r="W264" s="31" t="str">
        <f>IF(X264&lt;&gt;"",_xlfn.XLOOKUP(X264,tab_JA[Code],tab_JA[N_licence],"so"),"")</f>
        <v/>
      </c>
      <c r="X264" s="32"/>
      <c r="AA264" s="33" t="s">
        <v>2552</v>
      </c>
      <c r="AB264" s="33" t="s">
        <v>2552</v>
      </c>
      <c r="AC264" s="33" t="s">
        <v>2552</v>
      </c>
      <c r="AD264" s="34" t="str">
        <f>IF(X264&lt;&gt;"",SUMIF(Rencontres_N3_PN_Rx[Code_JA],X264,Rencontres_N3_PN_Rx[Frais_JA])-SUMIF(Rencontres_N3_PN_Rx[Code_JA],X264,Rencontres_N3_PN_Rx[frais defiscalisable]),"")</f>
        <v/>
      </c>
      <c r="AE264" s="121" t="str">
        <f>IF(X264&lt;&gt;"",SUMIF(Rencontres_N3_PN_Rx[Code_JA],X264,Rencontres_N3_PN_Rx[frais defiscalisable]),"")</f>
        <v/>
      </c>
    </row>
    <row r="265" spans="1:31" x14ac:dyDescent="0.25">
      <c r="A265" s="19" t="s">
        <v>2241</v>
      </c>
      <c r="B265" s="46" t="s">
        <v>2242</v>
      </c>
      <c r="C265" s="21" t="s">
        <v>2243</v>
      </c>
      <c r="D265" s="21" t="s">
        <v>2244</v>
      </c>
      <c r="E265" s="21" t="s">
        <v>2245</v>
      </c>
      <c r="F265" s="19">
        <v>76350</v>
      </c>
      <c r="G265" s="21" t="s">
        <v>1856</v>
      </c>
      <c r="H265" s="42" t="s">
        <v>2246</v>
      </c>
      <c r="I265" s="43" t="s">
        <v>2247</v>
      </c>
      <c r="J265" s="43" t="s">
        <v>2247</v>
      </c>
      <c r="K265" s="45" t="s">
        <v>394</v>
      </c>
      <c r="L265" s="21" t="s">
        <v>395</v>
      </c>
      <c r="M265" s="19">
        <f>_xlfn.XLOOKUP(tab_JA[[#This Row],[Code]],Rencontres_N3_PN_Rx[Code_JA],Rencontres_N3_PN_Rx[prest],0,0)</f>
        <v>0</v>
      </c>
      <c r="N265" s="19" t="s">
        <v>36</v>
      </c>
      <c r="P265" s="27">
        <f>SUMIF(Rencontres_N3_PN_Rx[Code_JA],tab_JA[[#This Row],[Code]],Rencontres_N3_PN_Rx[Frais_JA])</f>
        <v>0</v>
      </c>
      <c r="W265" s="31" t="str">
        <f>IF(X265&lt;&gt;"",_xlfn.XLOOKUP(X265,tab_JA[Code],tab_JA[N_licence],"so"),"")</f>
        <v/>
      </c>
      <c r="X265" s="32"/>
      <c r="AA265" s="33" t="s">
        <v>2552</v>
      </c>
      <c r="AB265" s="33" t="s">
        <v>2552</v>
      </c>
      <c r="AC265" s="33" t="s">
        <v>2552</v>
      </c>
      <c r="AD265" s="34" t="str">
        <f>IF(X265&lt;&gt;"",SUMIF(Rencontres_N3_PN_Rx[Code_JA],X265,Rencontres_N3_PN_Rx[Frais_JA])-SUMIF(Rencontres_N3_PN_Rx[Code_JA],X265,Rencontres_N3_PN_Rx[frais defiscalisable]),"")</f>
        <v/>
      </c>
      <c r="AE265" s="121" t="str">
        <f>IF(X265&lt;&gt;"",SUMIF(Rencontres_N3_PN_Rx[Code_JA],X265,Rencontres_N3_PN_Rx[frais defiscalisable]),"")</f>
        <v/>
      </c>
    </row>
    <row r="266" spans="1:31" x14ac:dyDescent="0.25">
      <c r="A266" s="19" t="s">
        <v>2268</v>
      </c>
      <c r="B266" s="20" t="s">
        <v>2269</v>
      </c>
      <c r="C266" s="21" t="s">
        <v>2270</v>
      </c>
      <c r="D266" s="21" t="s">
        <v>542</v>
      </c>
      <c r="E266" s="21" t="s">
        <v>2271</v>
      </c>
      <c r="F266" s="19">
        <v>14400</v>
      </c>
      <c r="G266" s="21" t="s">
        <v>2272</v>
      </c>
      <c r="H266" s="42" t="s">
        <v>2273</v>
      </c>
      <c r="I266" s="43" t="s">
        <v>2274</v>
      </c>
      <c r="J266" s="43" t="s">
        <v>2275</v>
      </c>
      <c r="K266" s="44" t="s">
        <v>2276</v>
      </c>
      <c r="L266" s="21" t="s">
        <v>2277</v>
      </c>
      <c r="M266" s="19">
        <f>_xlfn.XLOOKUP(tab_JA[[#This Row],[Code]],Rencontres_N3_PN_Rx[Code_JA],Rencontres_N3_PN_Rx[prest],0,0)</f>
        <v>0</v>
      </c>
      <c r="N266" s="19" t="s">
        <v>36</v>
      </c>
      <c r="P266" s="27">
        <f>SUMIF(Rencontres_N3_PN_Rx[Code_JA],tab_JA[[#This Row],[Code]],Rencontres_N3_PN_Rx[Frais_JA])</f>
        <v>0</v>
      </c>
      <c r="W266" s="31" t="str">
        <f>IF(X266&lt;&gt;"",_xlfn.XLOOKUP(X266,tab_JA[Code],tab_JA[N_licence],"so"),"")</f>
        <v/>
      </c>
      <c r="X266" s="32"/>
      <c r="AA266" s="33" t="s">
        <v>2552</v>
      </c>
      <c r="AB266" s="33" t="s">
        <v>2552</v>
      </c>
      <c r="AC266" s="33" t="s">
        <v>2552</v>
      </c>
      <c r="AD266" s="34" t="str">
        <f>IF(X266&lt;&gt;"",SUMIF(Rencontres_N3_PN_Rx[Code_JA],X266,Rencontres_N3_PN_Rx[Frais_JA])-SUMIF(Rencontres_N3_PN_Rx[Code_JA],X266,Rencontres_N3_PN_Rx[frais defiscalisable]),"")</f>
        <v/>
      </c>
      <c r="AE266" s="121" t="str">
        <f>IF(X266&lt;&gt;"",SUMIF(Rencontres_N3_PN_Rx[Code_JA],X266,Rencontres_N3_PN_Rx[frais defiscalisable]),"")</f>
        <v/>
      </c>
    </row>
    <row r="267" spans="1:31" x14ac:dyDescent="0.25">
      <c r="A267" s="19" t="s">
        <v>2254</v>
      </c>
      <c r="B267" s="20" t="s">
        <v>2255</v>
      </c>
      <c r="C267" s="21" t="s">
        <v>2256</v>
      </c>
      <c r="D267" s="21" t="s">
        <v>2257</v>
      </c>
      <c r="E267" s="21" t="s">
        <v>2258</v>
      </c>
      <c r="F267" s="19">
        <v>50460</v>
      </c>
      <c r="G267" s="21" t="s">
        <v>2125</v>
      </c>
      <c r="H267" s="42" t="s">
        <v>2259</v>
      </c>
      <c r="I267" s="43"/>
      <c r="J267" s="43" t="s">
        <v>2260</v>
      </c>
      <c r="K267" s="44" t="s">
        <v>691</v>
      </c>
      <c r="L267" s="21" t="s">
        <v>692</v>
      </c>
      <c r="M267" s="19">
        <f>_xlfn.XLOOKUP(tab_JA[[#This Row],[Code]],Rencontres_N3_PN_Rx[Code_JA],Rencontres_N3_PN_Rx[prest],0,0)</f>
        <v>4</v>
      </c>
      <c r="N267" s="19" t="s">
        <v>36</v>
      </c>
      <c r="P267" s="27">
        <f>SUMIF(Rencontres_N3_PN_Rx[Code_JA],tab_JA[[#This Row],[Code]],Rencontres_N3_PN_Rx[Frais_JA])</f>
        <v>62</v>
      </c>
      <c r="W267" s="31" t="str">
        <f>IF(X267&lt;&gt;"",_xlfn.XLOOKUP(X267,tab_JA[Code],tab_JA[N_licence],"so"),"")</f>
        <v/>
      </c>
      <c r="X267" s="32"/>
      <c r="AA267" s="33" t="s">
        <v>2552</v>
      </c>
      <c r="AB267" s="33" t="s">
        <v>2552</v>
      </c>
      <c r="AC267" s="33" t="s">
        <v>2552</v>
      </c>
      <c r="AD267" s="34" t="str">
        <f>IF(X267&lt;&gt;"",SUMIF(Rencontres_N3_PN_Rx[Code_JA],X267,Rencontres_N3_PN_Rx[Frais_JA])-SUMIF(Rencontres_N3_PN_Rx[Code_JA],X267,Rencontres_N3_PN_Rx[frais defiscalisable]),"")</f>
        <v/>
      </c>
      <c r="AE267" s="121" t="str">
        <f>IF(X267&lt;&gt;"",SUMIF(Rencontres_N3_PN_Rx[Code_JA],X267,Rencontres_N3_PN_Rx[frais defiscalisable]),"")</f>
        <v/>
      </c>
    </row>
    <row r="268" spans="1:31" x14ac:dyDescent="0.25">
      <c r="A268" s="19" t="s">
        <v>2278</v>
      </c>
      <c r="B268" s="20" t="s">
        <v>2279</v>
      </c>
      <c r="C268" s="21" t="s">
        <v>2270</v>
      </c>
      <c r="D268" s="21" t="s">
        <v>141</v>
      </c>
      <c r="E268" s="21" t="s">
        <v>2280</v>
      </c>
      <c r="F268" s="19">
        <v>61200</v>
      </c>
      <c r="G268" s="21" t="s">
        <v>509</v>
      </c>
      <c r="H268" s="42" t="s">
        <v>2281</v>
      </c>
      <c r="I268" s="43"/>
      <c r="J268" s="43" t="s">
        <v>2282</v>
      </c>
      <c r="K268" s="44" t="s">
        <v>2283</v>
      </c>
      <c r="L268" s="21" t="s">
        <v>2284</v>
      </c>
      <c r="M268" s="19">
        <f>_xlfn.XLOOKUP(tab_JA[[#This Row],[Code]],Rencontres_N3_PN_Rx[Code_JA],Rencontres_N3_PN_Rx[prest],0,0)</f>
        <v>0</v>
      </c>
      <c r="N268" s="19" t="s">
        <v>36</v>
      </c>
      <c r="P268" s="27">
        <f>SUMIF(Rencontres_N3_PN_Rx[Code_JA],tab_JA[[#This Row],[Code]],Rencontres_N3_PN_Rx[Frais_JA])</f>
        <v>0</v>
      </c>
      <c r="W268" s="31" t="str">
        <f>IF(X268&lt;&gt;"",_xlfn.XLOOKUP(X268,tab_JA[Code],tab_JA[N_licence],"so"),"")</f>
        <v/>
      </c>
      <c r="X268" s="32"/>
      <c r="AA268" s="33" t="s">
        <v>2552</v>
      </c>
      <c r="AB268" s="33" t="s">
        <v>2552</v>
      </c>
      <c r="AC268" s="33" t="s">
        <v>2552</v>
      </c>
      <c r="AD268" s="34" t="str">
        <f>IF(X268&lt;&gt;"",SUMIF(Rencontres_N3_PN_Rx[Code_JA],X268,Rencontres_N3_PN_Rx[Frais_JA])-SUMIF(Rencontres_N3_PN_Rx[Code_JA],X268,Rencontres_N3_PN_Rx[frais defiscalisable]),"")</f>
        <v/>
      </c>
      <c r="AE268" s="121" t="str">
        <f>IF(X268&lt;&gt;"",SUMIF(Rencontres_N3_PN_Rx[Code_JA],X268,Rencontres_N3_PN_Rx[frais defiscalisable]),"")</f>
        <v/>
      </c>
    </row>
    <row r="269" spans="1:31" x14ac:dyDescent="0.25">
      <c r="A269" s="19" t="s">
        <v>2285</v>
      </c>
      <c r="B269" s="20" t="s">
        <v>2286</v>
      </c>
      <c r="C269" s="21" t="s">
        <v>2287</v>
      </c>
      <c r="D269" s="21" t="s">
        <v>1099</v>
      </c>
      <c r="E269" s="21" t="s">
        <v>2288</v>
      </c>
      <c r="F269" s="19">
        <v>76140</v>
      </c>
      <c r="G269" s="21" t="s">
        <v>929</v>
      </c>
      <c r="H269" s="42" t="s">
        <v>2289</v>
      </c>
      <c r="I269" s="43" t="s">
        <v>2290</v>
      </c>
      <c r="J269" s="43" t="s">
        <v>2291</v>
      </c>
      <c r="K269" s="44" t="s">
        <v>414</v>
      </c>
      <c r="L269" s="21" t="s">
        <v>415</v>
      </c>
      <c r="M269" s="19">
        <f>_xlfn.XLOOKUP(tab_JA[[#This Row],[Code]],Rencontres_N3_PN_Rx[Code_JA],Rencontres_N3_PN_Rx[prest],0,0)</f>
        <v>0</v>
      </c>
      <c r="N269" s="19" t="s">
        <v>36</v>
      </c>
      <c r="P269" s="27">
        <f>SUMIF(Rencontres_N3_PN_Rx[Code_JA],tab_JA[[#This Row],[Code]],Rencontres_N3_PN_Rx[Frais_JA])</f>
        <v>0</v>
      </c>
      <c r="W269" s="31" t="str">
        <f>IF(X269&lt;&gt;"",_xlfn.XLOOKUP(X269,tab_JA[Code],tab_JA[N_licence],"so"),"")</f>
        <v/>
      </c>
      <c r="X269" s="32"/>
      <c r="AA269" s="33" t="s">
        <v>2552</v>
      </c>
      <c r="AB269" s="33" t="s">
        <v>2552</v>
      </c>
      <c r="AC269" s="33" t="s">
        <v>2552</v>
      </c>
      <c r="AD269" s="34" t="str">
        <f>IF(X269&lt;&gt;"",SUMIF(Rencontres_N3_PN_Rx[Code_JA],X269,Rencontres_N3_PN_Rx[Frais_JA])-SUMIF(Rencontres_N3_PN_Rx[Code_JA],X269,Rencontres_N3_PN_Rx[frais defiscalisable]),"")</f>
        <v/>
      </c>
      <c r="AE269" s="121" t="str">
        <f>IF(X269&lt;&gt;"",SUMIF(Rencontres_N3_PN_Rx[Code_JA],X269,Rencontres_N3_PN_Rx[frais defiscalisable]),"")</f>
        <v/>
      </c>
    </row>
    <row r="270" spans="1:31" x14ac:dyDescent="0.25">
      <c r="A270" s="19" t="s">
        <v>2299</v>
      </c>
      <c r="B270" s="20" t="s">
        <v>2300</v>
      </c>
      <c r="C270" s="21" t="s">
        <v>2301</v>
      </c>
      <c r="D270" s="21" t="s">
        <v>2302</v>
      </c>
      <c r="E270" s="21" t="s">
        <v>2303</v>
      </c>
      <c r="F270" s="19">
        <v>76440</v>
      </c>
      <c r="G270" s="21" t="s">
        <v>2304</v>
      </c>
      <c r="H270" s="42" t="s">
        <v>2305</v>
      </c>
      <c r="I270" s="43" t="s">
        <v>2306</v>
      </c>
      <c r="J270" s="43" t="s">
        <v>2307</v>
      </c>
      <c r="K270" s="44" t="s">
        <v>2308</v>
      </c>
      <c r="L270" s="21" t="s">
        <v>2309</v>
      </c>
      <c r="M270" s="19">
        <f>_xlfn.XLOOKUP(tab_JA[[#This Row],[Code]],Rencontres_N3_PN_Rx[Code_JA],Rencontres_N3_PN_Rx[prest],0,0)</f>
        <v>0</v>
      </c>
      <c r="N270" s="19" t="s">
        <v>36</v>
      </c>
      <c r="P270" s="27">
        <f>SUMIF(Rencontres_N3_PN_Rx[Code_JA],tab_JA[[#This Row],[Code]],Rencontres_N3_PN_Rx[Frais_JA])</f>
        <v>0</v>
      </c>
      <c r="W270" s="31" t="str">
        <f>IF(X270&lt;&gt;"",_xlfn.XLOOKUP(X270,tab_JA[Code],tab_JA[N_licence],"so"),"")</f>
        <v/>
      </c>
      <c r="X270" s="32"/>
      <c r="AA270" s="33" t="s">
        <v>2552</v>
      </c>
      <c r="AB270" s="33" t="s">
        <v>2552</v>
      </c>
      <c r="AC270" s="33" t="s">
        <v>2552</v>
      </c>
      <c r="AD270" s="34" t="str">
        <f>IF(X270&lt;&gt;"",SUMIF(Rencontres_N3_PN_Rx[Code_JA],X270,Rencontres_N3_PN_Rx[Frais_JA])-SUMIF(Rencontres_N3_PN_Rx[Code_JA],X270,Rencontres_N3_PN_Rx[frais defiscalisable]),"")</f>
        <v/>
      </c>
      <c r="AE270" s="121" t="str">
        <f>IF(X270&lt;&gt;"",SUMIF(Rencontres_N3_PN_Rx[Code_JA],X270,Rencontres_N3_PN_Rx[frais defiscalisable]),"")</f>
        <v/>
      </c>
    </row>
    <row r="271" spans="1:31" x14ac:dyDescent="0.25">
      <c r="A271" s="19" t="s">
        <v>2292</v>
      </c>
      <c r="B271" s="20" t="s">
        <v>2293</v>
      </c>
      <c r="C271" s="21" t="s">
        <v>2294</v>
      </c>
      <c r="D271" s="21" t="s">
        <v>1240</v>
      </c>
      <c r="E271" s="21" t="s">
        <v>2295</v>
      </c>
      <c r="F271" s="19">
        <v>14210</v>
      </c>
      <c r="G271" s="21" t="s">
        <v>2296</v>
      </c>
      <c r="H271" s="42" t="s">
        <v>2297</v>
      </c>
      <c r="I271" s="43"/>
      <c r="J271" s="43" t="s">
        <v>2298</v>
      </c>
      <c r="K271" s="44" t="s">
        <v>942</v>
      </c>
      <c r="L271" s="21" t="s">
        <v>943</v>
      </c>
      <c r="M271" s="19">
        <f>_xlfn.XLOOKUP(tab_JA[[#This Row],[Code]],Rencontres_N3_PN_Rx[Code_JA],Rencontres_N3_PN_Rx[prest],0,0)</f>
        <v>0</v>
      </c>
      <c r="N271" s="19" t="s">
        <v>36</v>
      </c>
      <c r="P271" s="27">
        <f>SUMIF(Rencontres_N3_PN_Rx[Code_JA],tab_JA[[#This Row],[Code]],Rencontres_N3_PN_Rx[Frais_JA])</f>
        <v>0</v>
      </c>
      <c r="W271" s="31" t="str">
        <f>IF(X271&lt;&gt;"",_xlfn.XLOOKUP(X271,tab_JA[Code],tab_JA[N_licence],"so"),"")</f>
        <v/>
      </c>
      <c r="X271" s="32"/>
      <c r="AA271" s="33" t="s">
        <v>2552</v>
      </c>
      <c r="AB271" s="33" t="s">
        <v>2552</v>
      </c>
      <c r="AC271" s="33" t="s">
        <v>2552</v>
      </c>
      <c r="AD271" s="34" t="str">
        <f>IF(X271&lt;&gt;"",SUMIF(Rencontres_N3_PN_Rx[Code_JA],X271,Rencontres_N3_PN_Rx[Frais_JA])-SUMIF(Rencontres_N3_PN_Rx[Code_JA],X271,Rencontres_N3_PN_Rx[frais defiscalisable]),"")</f>
        <v/>
      </c>
      <c r="AE271" s="121" t="str">
        <f>IF(X271&lt;&gt;"",SUMIF(Rencontres_N3_PN_Rx[Code_JA],X271,Rencontres_N3_PN_Rx[frais defiscalisable]),"")</f>
        <v/>
      </c>
    </row>
    <row r="272" spans="1:31" x14ac:dyDescent="0.25">
      <c r="A272" s="19" t="s">
        <v>2310</v>
      </c>
      <c r="B272" s="20" t="s">
        <v>2311</v>
      </c>
      <c r="C272" s="21" t="s">
        <v>2312</v>
      </c>
      <c r="D272" s="21" t="s">
        <v>204</v>
      </c>
      <c r="E272" s="21" t="s">
        <v>2313</v>
      </c>
      <c r="F272" s="19">
        <v>76100</v>
      </c>
      <c r="G272" s="21" t="s">
        <v>411</v>
      </c>
      <c r="H272" s="42" t="s">
        <v>2314</v>
      </c>
      <c r="I272" s="43" t="s">
        <v>2315</v>
      </c>
      <c r="J272" s="43" t="s">
        <v>2315</v>
      </c>
      <c r="K272" s="44" t="s">
        <v>796</v>
      </c>
      <c r="L272" s="21" t="s">
        <v>797</v>
      </c>
      <c r="M272" s="19">
        <f>_xlfn.XLOOKUP(tab_JA[[#This Row],[Code]],Rencontres_N3_PN_Rx[Code_JA],Rencontres_N3_PN_Rx[prest],0,0)</f>
        <v>0</v>
      </c>
      <c r="N272" s="19" t="s">
        <v>36</v>
      </c>
      <c r="P272" s="27">
        <f>SUMIF(Rencontres_N3_PN_Rx[Code_JA],tab_JA[[#This Row],[Code]],Rencontres_N3_PN_Rx[Frais_JA])</f>
        <v>0</v>
      </c>
      <c r="W272" s="31" t="str">
        <f>IF(X272&lt;&gt;"",_xlfn.XLOOKUP(X272,tab_JA[Code],tab_JA[N_licence],"so"),"")</f>
        <v/>
      </c>
      <c r="X272" s="32"/>
      <c r="AA272" s="33" t="s">
        <v>2552</v>
      </c>
      <c r="AB272" s="33" t="s">
        <v>2552</v>
      </c>
      <c r="AC272" s="33" t="s">
        <v>2552</v>
      </c>
      <c r="AD272" s="34" t="str">
        <f>IF(X272&lt;&gt;"",SUMIF(Rencontres_N3_PN_Rx[Code_JA],X272,Rencontres_N3_PN_Rx[Frais_JA])-SUMIF(Rencontres_N3_PN_Rx[Code_JA],X272,Rencontres_N3_PN_Rx[frais defiscalisable]),"")</f>
        <v/>
      </c>
      <c r="AE272" s="121" t="str">
        <f>IF(X272&lt;&gt;"",SUMIF(Rencontres_N3_PN_Rx[Code_JA],X272,Rencontres_N3_PN_Rx[frais defiscalisable]),"")</f>
        <v/>
      </c>
    </row>
    <row r="273" spans="1:31" x14ac:dyDescent="0.25">
      <c r="A273" s="19" t="s">
        <v>2325</v>
      </c>
      <c r="B273" s="20" t="s">
        <v>2326</v>
      </c>
      <c r="C273" s="21" t="s">
        <v>2327</v>
      </c>
      <c r="D273" s="21" t="s">
        <v>350</v>
      </c>
      <c r="E273" s="21" t="s">
        <v>2328</v>
      </c>
      <c r="F273" s="19">
        <v>14850</v>
      </c>
      <c r="G273" s="21" t="s">
        <v>2329</v>
      </c>
      <c r="H273" s="42" t="s">
        <v>2330</v>
      </c>
      <c r="I273" s="43" t="s">
        <v>2331</v>
      </c>
      <c r="J273" s="43" t="s">
        <v>2332</v>
      </c>
      <c r="K273" s="44" t="s">
        <v>538</v>
      </c>
      <c r="L273" s="21" t="s">
        <v>539</v>
      </c>
      <c r="M273" s="19">
        <f>_xlfn.XLOOKUP(tab_JA[[#This Row],[Code]],Rencontres_N3_PN_Rx[Code_JA],Rencontres_N3_PN_Rx[prest],0,0)</f>
        <v>0</v>
      </c>
      <c r="N273" s="19" t="s">
        <v>36</v>
      </c>
      <c r="P273" s="27">
        <f>SUMIF(Rencontres_N3_PN_Rx[Code_JA],tab_JA[[#This Row],[Code]],Rencontres_N3_PN_Rx[Frais_JA])</f>
        <v>0</v>
      </c>
      <c r="W273" s="31" t="str">
        <f>IF(X273&lt;&gt;"",_xlfn.XLOOKUP(X273,tab_JA[Code],tab_JA[N_licence],"so"),"")</f>
        <v/>
      </c>
      <c r="X273" s="32"/>
      <c r="AA273" s="33" t="s">
        <v>2552</v>
      </c>
      <c r="AB273" s="33" t="s">
        <v>2552</v>
      </c>
      <c r="AC273" s="33" t="s">
        <v>2552</v>
      </c>
      <c r="AD273" s="34" t="str">
        <f>IF(X273&lt;&gt;"",SUMIF(Rencontres_N3_PN_Rx[Code_JA],X273,Rencontres_N3_PN_Rx[Frais_JA])-SUMIF(Rencontres_N3_PN_Rx[Code_JA],X273,Rencontres_N3_PN_Rx[frais defiscalisable]),"")</f>
        <v/>
      </c>
      <c r="AE273" s="121" t="str">
        <f>IF(X273&lt;&gt;"",SUMIF(Rencontres_N3_PN_Rx[Code_JA],X273,Rencontres_N3_PN_Rx[frais defiscalisable]),"")</f>
        <v/>
      </c>
    </row>
    <row r="274" spans="1:31" x14ac:dyDescent="0.25">
      <c r="A274" s="19" t="s">
        <v>2316</v>
      </c>
      <c r="B274" s="20" t="s">
        <v>2317</v>
      </c>
      <c r="C274" s="21" t="s">
        <v>2318</v>
      </c>
      <c r="D274" s="21" t="s">
        <v>310</v>
      </c>
      <c r="E274" s="21" t="s">
        <v>2319</v>
      </c>
      <c r="F274" s="19">
        <v>27460</v>
      </c>
      <c r="G274" s="21" t="s">
        <v>2320</v>
      </c>
      <c r="H274" s="42" t="s">
        <v>2321</v>
      </c>
      <c r="I274" s="43"/>
      <c r="J274" s="43" t="s">
        <v>2322</v>
      </c>
      <c r="K274" s="44" t="s">
        <v>2323</v>
      </c>
      <c r="L274" s="21" t="s">
        <v>2324</v>
      </c>
      <c r="M274" s="19">
        <f>_xlfn.XLOOKUP(tab_JA[[#This Row],[Code]],Rencontres_N3_PN_Rx[Code_JA],Rencontres_N3_PN_Rx[prest],0,0)</f>
        <v>0</v>
      </c>
      <c r="N274" s="19" t="s">
        <v>36</v>
      </c>
      <c r="P274" s="27">
        <f>SUMIF(Rencontres_N3_PN_Rx[Code_JA],tab_JA[[#This Row],[Code]],Rencontres_N3_PN_Rx[Frais_JA])</f>
        <v>0</v>
      </c>
      <c r="W274" s="31" t="str">
        <f>IF(X274&lt;&gt;"",_xlfn.XLOOKUP(X274,tab_JA[Code],tab_JA[N_licence],"so"),"")</f>
        <v/>
      </c>
      <c r="X274" s="32"/>
      <c r="AA274" s="33" t="s">
        <v>2552</v>
      </c>
      <c r="AB274" s="33" t="s">
        <v>2552</v>
      </c>
      <c r="AC274" s="33" t="s">
        <v>2552</v>
      </c>
      <c r="AD274" s="34" t="str">
        <f>IF(X274&lt;&gt;"",SUMIF(Rencontres_N3_PN_Rx[Code_JA],X274,Rencontres_N3_PN_Rx[Frais_JA])-SUMIF(Rencontres_N3_PN_Rx[Code_JA],X274,Rencontres_N3_PN_Rx[frais defiscalisable]),"")</f>
        <v/>
      </c>
      <c r="AE274" s="121" t="str">
        <f>IF(X274&lt;&gt;"",SUMIF(Rencontres_N3_PN_Rx[Code_JA],X274,Rencontres_N3_PN_Rx[frais defiscalisable]),"")</f>
        <v/>
      </c>
    </row>
    <row r="275" spans="1:31" x14ac:dyDescent="0.25">
      <c r="A275" s="19" t="s">
        <v>2333</v>
      </c>
      <c r="B275" s="20" t="s">
        <v>2334</v>
      </c>
      <c r="C275" s="21" t="s">
        <v>2335</v>
      </c>
      <c r="D275" s="21" t="s">
        <v>2336</v>
      </c>
      <c r="E275" s="21" t="s">
        <v>2337</v>
      </c>
      <c r="F275" s="19">
        <v>76500</v>
      </c>
      <c r="G275" s="21" t="s">
        <v>895</v>
      </c>
      <c r="H275" s="42" t="s">
        <v>2338</v>
      </c>
      <c r="I275" s="43" t="s">
        <v>2339</v>
      </c>
      <c r="J275" s="43" t="s">
        <v>2340</v>
      </c>
      <c r="K275" s="44" t="s">
        <v>717</v>
      </c>
      <c r="L275" s="21" t="s">
        <v>718</v>
      </c>
      <c r="M275" s="19">
        <f>_xlfn.XLOOKUP(tab_JA[[#This Row],[Code]],Rencontres_N3_PN_Rx[Code_JA],Rencontres_N3_PN_Rx[prest],0,0)</f>
        <v>0</v>
      </c>
      <c r="N275" s="19" t="s">
        <v>36</v>
      </c>
      <c r="P275" s="27">
        <f>SUMIF(Rencontres_N3_PN_Rx[Code_JA],tab_JA[[#This Row],[Code]],Rencontres_N3_PN_Rx[Frais_JA])</f>
        <v>0</v>
      </c>
      <c r="W275" s="31" t="str">
        <f>IF(X275&lt;&gt;"",_xlfn.XLOOKUP(X275,tab_JA[Code],tab_JA[N_licence],"so"),"")</f>
        <v/>
      </c>
      <c r="X275" s="32"/>
      <c r="AA275" s="33" t="s">
        <v>2552</v>
      </c>
      <c r="AB275" s="33" t="s">
        <v>2552</v>
      </c>
      <c r="AC275" s="33" t="s">
        <v>2552</v>
      </c>
      <c r="AD275" s="34" t="str">
        <f>IF(X275&lt;&gt;"",SUMIF(Rencontres_N3_PN_Rx[Code_JA],X275,Rencontres_N3_PN_Rx[Frais_JA])-SUMIF(Rencontres_N3_PN_Rx[Code_JA],X275,Rencontres_N3_PN_Rx[frais defiscalisable]),"")</f>
        <v/>
      </c>
      <c r="AE275" s="121" t="str">
        <f>IF(X275&lt;&gt;"",SUMIF(Rencontres_N3_PN_Rx[Code_JA],X275,Rencontres_N3_PN_Rx[frais defiscalisable]),"")</f>
        <v/>
      </c>
    </row>
    <row r="276" spans="1:31" x14ac:dyDescent="0.25">
      <c r="A276" s="19" t="s">
        <v>2341</v>
      </c>
      <c r="B276" s="20" t="s">
        <v>2342</v>
      </c>
      <c r="C276" s="21" t="s">
        <v>2343</v>
      </c>
      <c r="D276" s="21" t="s">
        <v>2344</v>
      </c>
      <c r="E276" s="21" t="s">
        <v>2345</v>
      </c>
      <c r="F276" s="19">
        <v>27700</v>
      </c>
      <c r="G276" s="21" t="s">
        <v>233</v>
      </c>
      <c r="H276" s="42" t="s">
        <v>2346</v>
      </c>
      <c r="I276" s="43" t="s">
        <v>2347</v>
      </c>
      <c r="J276" s="43" t="s">
        <v>2348</v>
      </c>
      <c r="K276" s="44" t="s">
        <v>2349</v>
      </c>
      <c r="L276" s="21" t="s">
        <v>2350</v>
      </c>
      <c r="M276" s="19">
        <f>_xlfn.XLOOKUP(tab_JA[[#This Row],[Code]],Rencontres_N3_PN_Rx[Code_JA],Rencontres_N3_PN_Rx[prest],0,0)</f>
        <v>0</v>
      </c>
      <c r="N276" s="19" t="s">
        <v>36</v>
      </c>
      <c r="P276" s="27">
        <f>SUMIF(Rencontres_N3_PN_Rx[Code_JA],tab_JA[[#This Row],[Code]],Rencontres_N3_PN_Rx[Frais_JA])</f>
        <v>0</v>
      </c>
      <c r="W276" s="31" t="str">
        <f>IF(X276&lt;&gt;"",_xlfn.XLOOKUP(X276,tab_JA[Code],tab_JA[N_licence],"so"),"")</f>
        <v/>
      </c>
      <c r="X276" s="32"/>
      <c r="AA276" s="33" t="s">
        <v>2552</v>
      </c>
      <c r="AB276" s="33" t="s">
        <v>2552</v>
      </c>
      <c r="AC276" s="33" t="s">
        <v>2552</v>
      </c>
      <c r="AD276" s="34" t="str">
        <f>IF(X276&lt;&gt;"",SUMIF(Rencontres_N3_PN_Rx[Code_JA],X276,Rencontres_N3_PN_Rx[Frais_JA])-SUMIF(Rencontres_N3_PN_Rx[Code_JA],X276,Rencontres_N3_PN_Rx[frais defiscalisable]),"")</f>
        <v/>
      </c>
      <c r="AE276" s="121" t="str">
        <f>IF(X276&lt;&gt;"",SUMIF(Rencontres_N3_PN_Rx[Code_JA],X276,Rencontres_N3_PN_Rx[frais defiscalisable]),"")</f>
        <v/>
      </c>
    </row>
    <row r="277" spans="1:31" x14ac:dyDescent="0.25">
      <c r="A277" s="19" t="s">
        <v>2351</v>
      </c>
      <c r="B277" s="20" t="s">
        <v>2352</v>
      </c>
      <c r="C277" s="21" t="s">
        <v>2353</v>
      </c>
      <c r="D277" s="21" t="s">
        <v>2354</v>
      </c>
      <c r="E277" s="21" t="s">
        <v>2355</v>
      </c>
      <c r="F277" s="19">
        <v>14000</v>
      </c>
      <c r="G277" s="21" t="s">
        <v>63</v>
      </c>
      <c r="H277" s="42" t="s">
        <v>2356</v>
      </c>
      <c r="I277" s="43"/>
      <c r="J277" s="43" t="s">
        <v>2357</v>
      </c>
      <c r="K277" s="44" t="s">
        <v>66</v>
      </c>
      <c r="L277" s="21" t="s">
        <v>67</v>
      </c>
      <c r="M277" s="19">
        <f>_xlfn.XLOOKUP(tab_JA[[#This Row],[Code]],Rencontres_N3_PN_Rx[Code_JA],Rencontres_N3_PN_Rx[prest],0,0)</f>
        <v>0</v>
      </c>
      <c r="N277" s="19" t="s">
        <v>36</v>
      </c>
      <c r="P277" s="27">
        <f>SUMIF(Rencontres_N3_PN_Rx[Code_JA],tab_JA[[#This Row],[Code]],Rencontres_N3_PN_Rx[Frais_JA])</f>
        <v>0</v>
      </c>
      <c r="W277" s="31" t="str">
        <f>IF(X277&lt;&gt;"",_xlfn.XLOOKUP(X277,tab_JA[Code],tab_JA[N_licence],"so"),"")</f>
        <v/>
      </c>
      <c r="X277" s="32"/>
      <c r="AA277" s="33" t="s">
        <v>2552</v>
      </c>
      <c r="AB277" s="33" t="s">
        <v>2552</v>
      </c>
      <c r="AC277" s="33" t="s">
        <v>2552</v>
      </c>
      <c r="AD277" s="34" t="str">
        <f>IF(X277&lt;&gt;"",SUMIF(Rencontres_N3_PN_Rx[Code_JA],X277,Rencontres_N3_PN_Rx[Frais_JA])-SUMIF(Rencontres_N3_PN_Rx[Code_JA],X277,Rencontres_N3_PN_Rx[frais defiscalisable]),"")</f>
        <v/>
      </c>
      <c r="AE277" s="121" t="str">
        <f>IF(X277&lt;&gt;"",SUMIF(Rencontres_N3_PN_Rx[Code_JA],X277,Rencontres_N3_PN_Rx[frais defiscalisable]),"")</f>
        <v/>
      </c>
    </row>
    <row r="278" spans="1:31" x14ac:dyDescent="0.25">
      <c r="A278" s="19" t="s">
        <v>2358</v>
      </c>
      <c r="B278" s="20" t="s">
        <v>2359</v>
      </c>
      <c r="C278" s="21" t="s">
        <v>2360</v>
      </c>
      <c r="D278" s="21" t="s">
        <v>1754</v>
      </c>
      <c r="E278" s="21" t="s">
        <v>2361</v>
      </c>
      <c r="F278" s="19">
        <v>50240</v>
      </c>
      <c r="G278" s="21" t="s">
        <v>2362</v>
      </c>
      <c r="H278" s="42" t="s">
        <v>2363</v>
      </c>
      <c r="I278" s="43"/>
      <c r="J278" s="43" t="s">
        <v>2364</v>
      </c>
      <c r="K278" s="44" t="s">
        <v>1364</v>
      </c>
      <c r="L278" s="21" t="s">
        <v>1365</v>
      </c>
      <c r="M278" s="19">
        <f>_xlfn.XLOOKUP(tab_JA[[#This Row],[Code]],Rencontres_N3_PN_Rx[Code_JA],Rencontres_N3_PN_Rx[prest],0,0)</f>
        <v>4</v>
      </c>
      <c r="N278" s="19" t="s">
        <v>36</v>
      </c>
      <c r="P278" s="27">
        <f>SUMIF(Rencontres_N3_PN_Rx[Code_JA],tab_JA[[#This Row],[Code]],Rencontres_N3_PN_Rx[Frais_JA])</f>
        <v>59.6</v>
      </c>
      <c r="W278" s="31" t="str">
        <f>IF(X278&lt;&gt;"",_xlfn.XLOOKUP(X278,tab_JA[Code],tab_JA[N_licence],"so"),"")</f>
        <v/>
      </c>
      <c r="X278" s="32"/>
      <c r="AA278" s="33" t="s">
        <v>2552</v>
      </c>
      <c r="AB278" s="33" t="s">
        <v>2552</v>
      </c>
      <c r="AC278" s="33" t="s">
        <v>2552</v>
      </c>
      <c r="AD278" s="34" t="str">
        <f>IF(X278&lt;&gt;"",SUMIF(Rencontres_N3_PN_Rx[Code_JA],X278,Rencontres_N3_PN_Rx[Frais_JA])-SUMIF(Rencontres_N3_PN_Rx[Code_JA],X278,Rencontres_N3_PN_Rx[frais defiscalisable]),"")</f>
        <v/>
      </c>
      <c r="AE278" s="121" t="str">
        <f>IF(X278&lt;&gt;"",SUMIF(Rencontres_N3_PN_Rx[Code_JA],X278,Rencontres_N3_PN_Rx[frais defiscalisable]),"")</f>
        <v/>
      </c>
    </row>
    <row r="279" spans="1:31" x14ac:dyDescent="0.25">
      <c r="A279" s="19" t="s">
        <v>2365</v>
      </c>
      <c r="B279" s="20" t="s">
        <v>2366</v>
      </c>
      <c r="C279" s="21" t="s">
        <v>2360</v>
      </c>
      <c r="D279" s="21" t="s">
        <v>310</v>
      </c>
      <c r="E279" s="21" t="s">
        <v>2367</v>
      </c>
      <c r="F279" s="19">
        <v>50240</v>
      </c>
      <c r="G279" s="21" t="s">
        <v>474</v>
      </c>
      <c r="H279" s="42" t="s">
        <v>2363</v>
      </c>
      <c r="I279" s="43" t="s">
        <v>2368</v>
      </c>
      <c r="J279" s="43" t="s">
        <v>2369</v>
      </c>
      <c r="K279" s="44" t="s">
        <v>1364</v>
      </c>
      <c r="L279" s="21" t="s">
        <v>1365</v>
      </c>
      <c r="M279" s="19">
        <f>_xlfn.XLOOKUP(tab_JA[[#This Row],[Code]],Rencontres_N3_PN_Rx[Code_JA],Rencontres_N3_PN_Rx[prest],0,0)</f>
        <v>0</v>
      </c>
      <c r="N279" s="19" t="s">
        <v>36</v>
      </c>
      <c r="P279" s="27">
        <f>SUMIF(Rencontres_N3_PN_Rx[Code_JA],tab_JA[[#This Row],[Code]],Rencontres_N3_PN_Rx[Frais_JA])</f>
        <v>0</v>
      </c>
      <c r="W279" s="31" t="str">
        <f>IF(X279&lt;&gt;"",_xlfn.XLOOKUP(X279,tab_JA[Code],tab_JA[N_licence],"so"),"")</f>
        <v/>
      </c>
      <c r="X279" s="32"/>
      <c r="AA279" s="33" t="s">
        <v>2552</v>
      </c>
      <c r="AB279" s="33" t="s">
        <v>2552</v>
      </c>
      <c r="AC279" s="33" t="s">
        <v>2552</v>
      </c>
      <c r="AD279" s="34" t="str">
        <f>IF(X279&lt;&gt;"",SUMIF(Rencontres_N3_PN_Rx[Code_JA],X279,Rencontres_N3_PN_Rx[Frais_JA])-SUMIF(Rencontres_N3_PN_Rx[Code_JA],X279,Rencontres_N3_PN_Rx[frais defiscalisable]),"")</f>
        <v/>
      </c>
      <c r="AE279" s="121" t="str">
        <f>IF(X279&lt;&gt;"",SUMIF(Rencontres_N3_PN_Rx[Code_JA],X279,Rencontres_N3_PN_Rx[frais defiscalisable]),"")</f>
        <v/>
      </c>
    </row>
    <row r="280" spans="1:31" x14ac:dyDescent="0.25">
      <c r="A280" s="19" t="s">
        <v>2370</v>
      </c>
      <c r="B280" s="20" t="s">
        <v>2371</v>
      </c>
      <c r="C280" s="21" t="s">
        <v>2372</v>
      </c>
      <c r="D280" s="21" t="s">
        <v>102</v>
      </c>
      <c r="E280" s="21" t="s">
        <v>2373</v>
      </c>
      <c r="F280" s="19">
        <v>50460</v>
      </c>
      <c r="G280" s="21" t="s">
        <v>2374</v>
      </c>
      <c r="H280" s="42" t="s">
        <v>2375</v>
      </c>
      <c r="I280" s="43" t="s">
        <v>2376</v>
      </c>
      <c r="J280" s="43" t="s">
        <v>2377</v>
      </c>
      <c r="K280" s="44" t="s">
        <v>2063</v>
      </c>
      <c r="L280" s="21" t="s">
        <v>2064</v>
      </c>
      <c r="M280" s="19">
        <f>_xlfn.XLOOKUP(tab_JA[[#This Row],[Code]],Rencontres_N3_PN_Rx[Code_JA],Rencontres_N3_PN_Rx[prest],0,0)</f>
        <v>1</v>
      </c>
      <c r="N280" s="19" t="s">
        <v>36</v>
      </c>
      <c r="P280" s="27">
        <f>SUMIF(Rencontres_N3_PN_Rx[Code_JA],tab_JA[[#This Row],[Code]],Rencontres_N3_PN_Rx[Frais_JA])</f>
        <v>0</v>
      </c>
      <c r="U280" s="32"/>
      <c r="V280" s="32"/>
      <c r="W280" s="31" t="str">
        <f>IF(X280&lt;&gt;"",_xlfn.XLOOKUP(X280,tab_JA[Code],tab_JA[N_licence],"so"),"")</f>
        <v/>
      </c>
      <c r="X280" s="32"/>
      <c r="Y280" s="33"/>
      <c r="Z280" s="34"/>
      <c r="AA280" s="33" t="s">
        <v>2552</v>
      </c>
      <c r="AB280" s="33" t="s">
        <v>2552</v>
      </c>
      <c r="AC280" s="33" t="s">
        <v>2552</v>
      </c>
      <c r="AD280" s="34" t="str">
        <f>IF(X280&lt;&gt;"",SUMIF(Rencontres_N3_PN_Rx[Code_JA],X280,Rencontres_N3_PN_Rx[Frais_JA])-SUMIF(Rencontres_N3_PN_Rx[Code_JA],X280,Rencontres_N3_PN_Rx[frais defiscalisable]),"")</f>
        <v/>
      </c>
      <c r="AE280" s="121" t="str">
        <f>IF(X280&lt;&gt;"",SUMIF(Rencontres_N3_PN_Rx[Code_JA],X280,Rencontres_N3_PN_Rx[frais defiscalisable]),"")</f>
        <v/>
      </c>
    </row>
    <row r="281" spans="1:31" x14ac:dyDescent="0.25">
      <c r="A281" s="19" t="s">
        <v>2378</v>
      </c>
      <c r="B281" s="20" t="s">
        <v>2379</v>
      </c>
      <c r="C281" s="21" t="s">
        <v>2380</v>
      </c>
      <c r="D281" s="21" t="s">
        <v>438</v>
      </c>
      <c r="E281" s="21" t="s">
        <v>2381</v>
      </c>
      <c r="F281" s="19">
        <v>76750</v>
      </c>
      <c r="G281" s="21" t="s">
        <v>2382</v>
      </c>
      <c r="H281" s="42" t="s">
        <v>2383</v>
      </c>
      <c r="I281" s="43" t="s">
        <v>2384</v>
      </c>
      <c r="J281" s="43"/>
      <c r="K281" s="44" t="s">
        <v>2385</v>
      </c>
      <c r="L281" s="21" t="s">
        <v>2386</v>
      </c>
      <c r="M281" s="19">
        <f>_xlfn.XLOOKUP(tab_JA[[#This Row],[Code]],Rencontres_N3_PN_Rx[Code_JA],Rencontres_N3_PN_Rx[prest],0,0)</f>
        <v>0</v>
      </c>
      <c r="N281" s="19" t="s">
        <v>36</v>
      </c>
      <c r="P281" s="27">
        <f>SUMIF(Rencontres_N3_PN_Rx[Code_JA],tab_JA[[#This Row],[Code]],Rencontres_N3_PN_Rx[Frais_JA])</f>
        <v>0</v>
      </c>
      <c r="U281" s="32"/>
      <c r="V281" s="32"/>
      <c r="W281" s="31" t="str">
        <f>IF(X281&lt;&gt;"",_xlfn.XLOOKUP(X281,tab_JA[Code],tab_JA[N_licence],"so"),"")</f>
        <v/>
      </c>
      <c r="X281" s="32"/>
      <c r="Y281" s="33"/>
      <c r="Z281" s="34"/>
      <c r="AA281" s="33" t="s">
        <v>2552</v>
      </c>
      <c r="AB281" s="33" t="s">
        <v>2552</v>
      </c>
      <c r="AC281" s="33" t="s">
        <v>2552</v>
      </c>
      <c r="AD281" s="34" t="str">
        <f>IF(X281&lt;&gt;"",SUMIF(Rencontres_N3_PN_Rx[Code_JA],X281,Rencontres_N3_PN_Rx[Frais_JA])-SUMIF(Rencontres_N3_PN_Rx[Code_JA],X281,Rencontres_N3_PN_Rx[frais defiscalisable]),"")</f>
        <v/>
      </c>
      <c r="AE281" s="121" t="str">
        <f>IF(X281&lt;&gt;"",SUMIF(Rencontres_N3_PN_Rx[Code_JA],X281,Rencontres_N3_PN_Rx[frais defiscalisable]),"")</f>
        <v/>
      </c>
    </row>
    <row r="282" spans="1:31" x14ac:dyDescent="0.25">
      <c r="A282" s="19" t="s">
        <v>2387</v>
      </c>
      <c r="B282" s="20" t="s">
        <v>2388</v>
      </c>
      <c r="C282" s="21" t="s">
        <v>2389</v>
      </c>
      <c r="D282" s="21" t="s">
        <v>61</v>
      </c>
      <c r="E282" s="21" t="s">
        <v>2390</v>
      </c>
      <c r="F282" s="19">
        <v>28260</v>
      </c>
      <c r="G282" s="21" t="s">
        <v>2391</v>
      </c>
      <c r="H282" s="42" t="s">
        <v>2392</v>
      </c>
      <c r="I282" s="43" t="s">
        <v>2393</v>
      </c>
      <c r="J282" s="43" t="s">
        <v>2394</v>
      </c>
      <c r="K282" s="44" t="s">
        <v>305</v>
      </c>
      <c r="L282" s="21" t="s">
        <v>306</v>
      </c>
      <c r="M282" s="19">
        <f>_xlfn.XLOOKUP(tab_JA[[#This Row],[Code]],Rencontres_N3_PN_Rx[Code_JA],Rencontres_N3_PN_Rx[prest],0,0)</f>
        <v>0</v>
      </c>
      <c r="N282" s="19" t="s">
        <v>36</v>
      </c>
      <c r="P282" s="27">
        <f>SUMIF(Rencontres_N3_PN_Rx[Code_JA],tab_JA[[#This Row],[Code]],Rencontres_N3_PN_Rx[Frais_JA])</f>
        <v>0</v>
      </c>
      <c r="U282" s="32"/>
      <c r="V282" s="32"/>
      <c r="W282" s="31" t="str">
        <f>IF(X282&lt;&gt;"",_xlfn.XLOOKUP(X282,tab_JA[Code],tab_JA[N_licence],"so"),"")</f>
        <v/>
      </c>
      <c r="X282" s="32"/>
      <c r="Y282" s="33"/>
      <c r="Z282" s="34"/>
      <c r="AA282" s="33" t="s">
        <v>2552</v>
      </c>
      <c r="AB282" s="33" t="s">
        <v>2552</v>
      </c>
      <c r="AC282" s="33" t="s">
        <v>2552</v>
      </c>
      <c r="AD282" s="34" t="str">
        <f>IF(X282&lt;&gt;"",SUMIF(Rencontres_N3_PN_Rx[Code_JA],X282,Rencontres_N3_PN_Rx[Frais_JA])-SUMIF(Rencontres_N3_PN_Rx[Code_JA],X282,Rencontres_N3_PN_Rx[frais defiscalisable]),"")</f>
        <v/>
      </c>
      <c r="AE282" s="121" t="str">
        <f>IF(X282&lt;&gt;"",SUMIF(Rencontres_N3_PN_Rx[Code_JA],X282,Rencontres_N3_PN_Rx[frais defiscalisable]),"")</f>
        <v/>
      </c>
    </row>
    <row r="283" spans="1:31" x14ac:dyDescent="0.25">
      <c r="A283" s="19" t="s">
        <v>2395</v>
      </c>
      <c r="B283" s="20" t="s">
        <v>2396</v>
      </c>
      <c r="C283" s="21" t="s">
        <v>2397</v>
      </c>
      <c r="D283" s="21" t="s">
        <v>2336</v>
      </c>
      <c r="E283" s="21" t="s">
        <v>2398</v>
      </c>
      <c r="F283" s="19">
        <v>50310</v>
      </c>
      <c r="G283" s="21" t="s">
        <v>2399</v>
      </c>
      <c r="H283" s="42" t="s">
        <v>2400</v>
      </c>
      <c r="I283" s="43" t="s">
        <v>2401</v>
      </c>
      <c r="J283" s="43" t="s">
        <v>2402</v>
      </c>
      <c r="K283" s="44" t="s">
        <v>707</v>
      </c>
      <c r="L283" s="21" t="s">
        <v>708</v>
      </c>
      <c r="M283" s="19">
        <f>_xlfn.XLOOKUP(tab_JA[[#This Row],[Code]],Rencontres_N3_PN_Rx[Code_JA],Rencontres_N3_PN_Rx[prest],0,0)</f>
        <v>7</v>
      </c>
      <c r="N283" s="19" t="s">
        <v>36</v>
      </c>
      <c r="P283" s="27">
        <f>SUMIF(Rencontres_N3_PN_Rx[Code_JA],tab_JA[[#This Row],[Code]],Rencontres_N3_PN_Rx[Frais_JA])</f>
        <v>172</v>
      </c>
      <c r="U283" s="32"/>
      <c r="V283" s="32"/>
      <c r="W283" s="31" t="str">
        <f>IF(X283&lt;&gt;"",_xlfn.XLOOKUP(X283,tab_JA[Code],tab_JA[N_licence],"so"),"")</f>
        <v/>
      </c>
      <c r="X283" s="32"/>
      <c r="Y283" s="33"/>
      <c r="Z283" s="34"/>
      <c r="AA283" s="33" t="s">
        <v>2552</v>
      </c>
      <c r="AB283" s="33" t="s">
        <v>2552</v>
      </c>
      <c r="AC283" s="33" t="s">
        <v>2552</v>
      </c>
      <c r="AD283" s="34" t="str">
        <f>IF(X283&lt;&gt;"",SUMIF(Rencontres_N3_PN_Rx[Code_JA],X283,Rencontres_N3_PN_Rx[Frais_JA])-SUMIF(Rencontres_N3_PN_Rx[Code_JA],X283,Rencontres_N3_PN_Rx[frais defiscalisable]),"")</f>
        <v/>
      </c>
      <c r="AE283" s="121" t="str">
        <f>IF(X283&lt;&gt;"",SUMIF(Rencontres_N3_PN_Rx[Code_JA],X283,Rencontres_N3_PN_Rx[frais defiscalisable]),"")</f>
        <v/>
      </c>
    </row>
    <row r="284" spans="1:31" x14ac:dyDescent="0.25">
      <c r="A284" s="19" t="s">
        <v>2403</v>
      </c>
      <c r="B284" s="20" t="s">
        <v>2404</v>
      </c>
      <c r="C284" s="21" t="s">
        <v>2405</v>
      </c>
      <c r="D284" s="21" t="s">
        <v>591</v>
      </c>
      <c r="E284" s="21" t="s">
        <v>2406</v>
      </c>
      <c r="F284" s="19">
        <v>76230</v>
      </c>
      <c r="G284" s="21" t="s">
        <v>114</v>
      </c>
      <c r="H284" s="42" t="s">
        <v>2407</v>
      </c>
      <c r="I284" s="43" t="s">
        <v>2408</v>
      </c>
      <c r="J284" s="43" t="s">
        <v>2408</v>
      </c>
      <c r="K284" s="44" t="s">
        <v>117</v>
      </c>
      <c r="L284" s="21" t="s">
        <v>118</v>
      </c>
      <c r="M284" s="19">
        <f>_xlfn.XLOOKUP(tab_JA[[#This Row],[Code]],Rencontres_N3_PN_Rx[Code_JA],Rencontres_N3_PN_Rx[prest],0,0)</f>
        <v>0</v>
      </c>
      <c r="N284" s="19" t="s">
        <v>36</v>
      </c>
      <c r="P284" s="27">
        <f>SUMIF(Rencontres_N3_PN_Rx[Code_JA],tab_JA[[#This Row],[Code]],Rencontres_N3_PN_Rx[Frais_JA])</f>
        <v>0</v>
      </c>
      <c r="U284" s="32"/>
      <c r="V284" s="32"/>
      <c r="W284" s="31" t="str">
        <f>IF(X284&lt;&gt;"",_xlfn.XLOOKUP(X284,tab_JA[Code],tab_JA[N_licence],"so"),"")</f>
        <v/>
      </c>
      <c r="X284" s="32"/>
      <c r="Y284" s="33"/>
      <c r="Z284" s="34"/>
      <c r="AA284" s="33" t="s">
        <v>2552</v>
      </c>
      <c r="AB284" s="33" t="s">
        <v>2552</v>
      </c>
      <c r="AC284" s="33" t="s">
        <v>2552</v>
      </c>
      <c r="AD284" s="34" t="str">
        <f>IF(X284&lt;&gt;"",SUMIF(Rencontres_N3_PN_Rx[Code_JA],X284,Rencontres_N3_PN_Rx[Frais_JA])-SUMIF(Rencontres_N3_PN_Rx[Code_JA],X284,Rencontres_N3_PN_Rx[frais defiscalisable]),"")</f>
        <v/>
      </c>
      <c r="AE284" s="121" t="str">
        <f>IF(X284&lt;&gt;"",SUMIF(Rencontres_N3_PN_Rx[Code_JA],X284,Rencontres_N3_PN_Rx[frais defiscalisable]),"")</f>
        <v/>
      </c>
    </row>
    <row r="285" spans="1:31" x14ac:dyDescent="0.25">
      <c r="A285" s="19" t="s">
        <v>2434</v>
      </c>
      <c r="B285" s="20" t="s">
        <v>2435</v>
      </c>
      <c r="C285" s="21" t="s">
        <v>2436</v>
      </c>
      <c r="D285" s="21" t="s">
        <v>2437</v>
      </c>
      <c r="E285" s="21" t="s">
        <v>2438</v>
      </c>
      <c r="F285" s="19">
        <v>50000</v>
      </c>
      <c r="G285" s="21" t="s">
        <v>2439</v>
      </c>
      <c r="H285" s="42" t="s">
        <v>2440</v>
      </c>
      <c r="I285" s="43" t="s">
        <v>2441</v>
      </c>
      <c r="J285" s="43" t="s">
        <v>2442</v>
      </c>
      <c r="K285" s="44" t="s">
        <v>1468</v>
      </c>
      <c r="L285" s="21" t="s">
        <v>1469</v>
      </c>
      <c r="M285" s="19">
        <f>_xlfn.XLOOKUP(tab_JA[[#This Row],[Code]],Rencontres_N3_PN_Rx[Code_JA],Rencontres_N3_PN_Rx[prest],0,0)</f>
        <v>6</v>
      </c>
      <c r="N285" s="19" t="s">
        <v>36</v>
      </c>
      <c r="P285" s="27">
        <f>SUMIF(Rencontres_N3_PN_Rx[Code_JA],tab_JA[[#This Row],[Code]],Rencontres_N3_PN_Rx[Frais_JA])</f>
        <v>128.79999999999998</v>
      </c>
      <c r="U285" s="32"/>
      <c r="V285" s="32"/>
      <c r="W285" s="31" t="str">
        <f>IF(X285&lt;&gt;"",_xlfn.XLOOKUP(X285,tab_JA[Code],tab_JA[N_licence],"so"),"")</f>
        <v/>
      </c>
      <c r="X285" s="32"/>
      <c r="Y285" s="33"/>
      <c r="Z285" s="34"/>
      <c r="AA285" s="33" t="s">
        <v>2552</v>
      </c>
      <c r="AB285" s="33" t="s">
        <v>2552</v>
      </c>
      <c r="AC285" s="33" t="s">
        <v>2552</v>
      </c>
      <c r="AD285" s="34" t="str">
        <f>IF(X285&lt;&gt;"",SUMIF(Rencontres_N3_PN_Rx[Code_JA],X285,Rencontres_N3_PN_Rx[Frais_JA])-SUMIF(Rencontres_N3_PN_Rx[Code_JA],X285,Rencontres_N3_PN_Rx[frais defiscalisable]),"")</f>
        <v/>
      </c>
      <c r="AE285" s="121" t="str">
        <f>IF(X285&lt;&gt;"",SUMIF(Rencontres_N3_PN_Rx[Code_JA],X285,Rencontres_N3_PN_Rx[frais defiscalisable]),"")</f>
        <v/>
      </c>
    </row>
    <row r="286" spans="1:31" x14ac:dyDescent="0.25">
      <c r="A286" s="19" t="s">
        <v>2443</v>
      </c>
      <c r="B286" s="20" t="s">
        <v>2444</v>
      </c>
      <c r="C286" s="21" t="s">
        <v>2445</v>
      </c>
      <c r="D286" s="21" t="s">
        <v>1099</v>
      </c>
      <c r="E286" s="21" t="s">
        <v>2446</v>
      </c>
      <c r="F286" s="19">
        <v>50100</v>
      </c>
      <c r="G286" s="21" t="s">
        <v>732</v>
      </c>
      <c r="H286" s="42" t="s">
        <v>2447</v>
      </c>
      <c r="I286" s="43"/>
      <c r="J286" s="43" t="s">
        <v>2448</v>
      </c>
      <c r="K286" s="44" t="s">
        <v>734</v>
      </c>
      <c r="L286" s="21" t="s">
        <v>735</v>
      </c>
      <c r="M286" s="19">
        <f>_xlfn.XLOOKUP(tab_JA[[#This Row],[Code]],Rencontres_N3_PN_Rx[Code_JA],Rencontres_N3_PN_Rx[prest],0,0)</f>
        <v>0</v>
      </c>
      <c r="N286" s="19" t="s">
        <v>36</v>
      </c>
      <c r="P286" s="27">
        <f>SUMIF(Rencontres_N3_PN_Rx[Code_JA],tab_JA[[#This Row],[Code]],Rencontres_N3_PN_Rx[Frais_JA])</f>
        <v>0</v>
      </c>
      <c r="U286" s="32"/>
      <c r="V286" s="32"/>
      <c r="W286" s="31" t="str">
        <f>IF(X286&lt;&gt;"",_xlfn.XLOOKUP(X286,tab_JA[Code],tab_JA[N_licence],"so"),"")</f>
        <v/>
      </c>
      <c r="X286" s="32"/>
      <c r="Y286" s="33"/>
      <c r="Z286" s="34"/>
      <c r="AA286" s="33" t="s">
        <v>2552</v>
      </c>
      <c r="AB286" s="33" t="s">
        <v>2552</v>
      </c>
      <c r="AC286" s="33" t="s">
        <v>2552</v>
      </c>
      <c r="AD286" s="34" t="str">
        <f>IF(X286&lt;&gt;"",SUMIF(Rencontres_N3_PN_Rx[Code_JA],X286,Rencontres_N3_PN_Rx[Frais_JA])-SUMIF(Rencontres_N3_PN_Rx[Code_JA],X286,Rencontres_N3_PN_Rx[frais defiscalisable]),"")</f>
        <v/>
      </c>
      <c r="AE286" s="121" t="str">
        <f>IF(X286&lt;&gt;"",SUMIF(Rencontres_N3_PN_Rx[Code_JA],X286,Rencontres_N3_PN_Rx[frais defiscalisable]),"")</f>
        <v/>
      </c>
    </row>
    <row r="287" spans="1:31" x14ac:dyDescent="0.25">
      <c r="A287" s="19" t="s">
        <v>2449</v>
      </c>
      <c r="B287" s="20" t="s">
        <v>2450</v>
      </c>
      <c r="C287" s="21" t="s">
        <v>2445</v>
      </c>
      <c r="D287" s="21" t="s">
        <v>963</v>
      </c>
      <c r="E287" s="21" t="s">
        <v>2451</v>
      </c>
      <c r="F287" s="19">
        <v>50140</v>
      </c>
      <c r="G287" s="21" t="s">
        <v>2452</v>
      </c>
      <c r="H287" s="42" t="s">
        <v>2453</v>
      </c>
      <c r="I287" s="43" t="s">
        <v>2454</v>
      </c>
      <c r="J287" s="43" t="s">
        <v>2455</v>
      </c>
      <c r="K287" s="44" t="s">
        <v>813</v>
      </c>
      <c r="L287" s="21" t="s">
        <v>814</v>
      </c>
      <c r="M287" s="19">
        <f>_xlfn.XLOOKUP(tab_JA[[#This Row],[Code]],Rencontres_N3_PN_Rx[Code_JA],Rencontres_N3_PN_Rx[prest],0,0)</f>
        <v>0</v>
      </c>
      <c r="N287" s="19" t="s">
        <v>36</v>
      </c>
      <c r="P287" s="27">
        <f>SUMIF(Rencontres_N3_PN_Rx[Code_JA],tab_JA[[#This Row],[Code]],Rencontres_N3_PN_Rx[Frais_JA])</f>
        <v>0</v>
      </c>
      <c r="Q287" s="30"/>
      <c r="U287" s="32"/>
      <c r="V287" s="32"/>
      <c r="W287" s="31" t="str">
        <f>IF(X287&lt;&gt;"",_xlfn.XLOOKUP(X287,tab_JA[Code],tab_JA[N_licence],"so"),"")</f>
        <v/>
      </c>
      <c r="X287" s="32"/>
      <c r="Y287" s="33"/>
      <c r="Z287" s="34"/>
      <c r="AA287" s="33" t="s">
        <v>2552</v>
      </c>
      <c r="AB287" s="33" t="s">
        <v>2552</v>
      </c>
      <c r="AC287" s="33" t="s">
        <v>2552</v>
      </c>
      <c r="AD287" s="34" t="str">
        <f>IF(X287&lt;&gt;"",SUMIF(Rencontres_N3_PN_Rx[Code_JA],X287,Rencontres_N3_PN_Rx[Frais_JA])-SUMIF(Rencontres_N3_PN_Rx[Code_JA],X287,Rencontres_N3_PN_Rx[frais defiscalisable]),"")</f>
        <v/>
      </c>
      <c r="AE287" s="121" t="str">
        <f>IF(X287&lt;&gt;"",SUMIF(Rencontres_N3_PN_Rx[Code_JA],X287,Rencontres_N3_PN_Rx[frais defiscalisable]),"")</f>
        <v/>
      </c>
    </row>
    <row r="288" spans="1:31" x14ac:dyDescent="0.25">
      <c r="A288" s="19" t="s">
        <v>3333</v>
      </c>
      <c r="B288" s="20" t="s">
        <v>2409</v>
      </c>
      <c r="C288" s="21" t="s">
        <v>2410</v>
      </c>
      <c r="D288" s="21" t="s">
        <v>628</v>
      </c>
      <c r="E288" s="21" t="s">
        <v>2411</v>
      </c>
      <c r="F288" s="19">
        <v>76770</v>
      </c>
      <c r="G288" s="21" t="s">
        <v>2412</v>
      </c>
      <c r="H288" s="42" t="s">
        <v>2413</v>
      </c>
      <c r="I288" s="43" t="s">
        <v>2414</v>
      </c>
      <c r="J288" s="43" t="s">
        <v>2415</v>
      </c>
      <c r="K288" s="44" t="s">
        <v>2416</v>
      </c>
      <c r="L288" s="21" t="s">
        <v>2417</v>
      </c>
      <c r="M288" s="19">
        <f>_xlfn.XLOOKUP(tab_JA[[#This Row],[Code]],Rencontres_N3_PN_Rx[Code_JA],Rencontres_N3_PN_Rx[prest],0,0)</f>
        <v>0</v>
      </c>
      <c r="N288" s="19" t="s">
        <v>36</v>
      </c>
      <c r="P288" s="27">
        <f>SUMIF(Rencontres_N3_PN_Rx[Code_JA],tab_JA[[#This Row],[Code]],Rencontres_N3_PN_Rx[Frais_JA])</f>
        <v>0</v>
      </c>
      <c r="Q288" s="30"/>
      <c r="U288" s="32"/>
      <c r="V288" s="32"/>
      <c r="W288" s="31" t="str">
        <f>IF(X288&lt;&gt;"",_xlfn.XLOOKUP(X288,tab_JA[Code],tab_JA[N_licence],"so"),"")</f>
        <v/>
      </c>
      <c r="X288" s="32"/>
      <c r="Y288" s="33"/>
      <c r="Z288" s="34"/>
      <c r="AA288" s="33" t="s">
        <v>2552</v>
      </c>
      <c r="AB288" s="33" t="s">
        <v>2552</v>
      </c>
      <c r="AC288" s="33" t="s">
        <v>2552</v>
      </c>
      <c r="AD288" s="34" t="str">
        <f>IF(X288&lt;&gt;"",SUMIF(Rencontres_N3_PN_Rx[Code_JA],X288,Rencontres_N3_PN_Rx[Frais_JA])-SUMIF(Rencontres_N3_PN_Rx[Code_JA],X288,Rencontres_N3_PN_Rx[frais defiscalisable]),"")</f>
        <v/>
      </c>
      <c r="AE288" s="121" t="str">
        <f>IF(X288&lt;&gt;"",SUMIF(Rencontres_N3_PN_Rx[Code_JA],X288,Rencontres_N3_PN_Rx[frais defiscalisable]),"")</f>
        <v/>
      </c>
    </row>
    <row r="289" spans="1:31" x14ac:dyDescent="0.25">
      <c r="A289" s="19" t="s">
        <v>3334</v>
      </c>
      <c r="B289" s="20" t="s">
        <v>2456</v>
      </c>
      <c r="C289" s="21" t="s">
        <v>2445</v>
      </c>
      <c r="D289" s="21" t="s">
        <v>2457</v>
      </c>
      <c r="E289" s="21" t="s">
        <v>2458</v>
      </c>
      <c r="F289" s="19">
        <v>14000</v>
      </c>
      <c r="G289" s="21" t="s">
        <v>2459</v>
      </c>
      <c r="H289" s="42" t="s">
        <v>2460</v>
      </c>
      <c r="I289" s="43"/>
      <c r="J289" s="43"/>
      <c r="K289" s="44" t="s">
        <v>1003</v>
      </c>
      <c r="L289" s="21" t="s">
        <v>1004</v>
      </c>
      <c r="M289" s="19">
        <f>_xlfn.XLOOKUP(tab_JA[[#This Row],[Code]],Rencontres_N3_PN_Rx[Code_JA],Rencontres_N3_PN_Rx[prest],0,0)</f>
        <v>0</v>
      </c>
      <c r="N289" s="19" t="s">
        <v>36</v>
      </c>
      <c r="P289" s="27">
        <f>SUMIF(Rencontres_N3_PN_Rx[Code_JA],tab_JA[[#This Row],[Code]],Rencontres_N3_PN_Rx[Frais_JA])</f>
        <v>0</v>
      </c>
      <c r="Q289" s="30"/>
      <c r="U289" s="32"/>
      <c r="V289" s="32"/>
      <c r="W289" s="31" t="str">
        <f>IF(X289&lt;&gt;"",_xlfn.XLOOKUP(X289,tab_JA[Code],tab_JA[N_licence],"so"),"")</f>
        <v/>
      </c>
      <c r="X289" s="32"/>
      <c r="Y289" s="33"/>
      <c r="Z289" s="34"/>
      <c r="AA289" s="33" t="s">
        <v>2552</v>
      </c>
      <c r="AB289" s="33" t="s">
        <v>2552</v>
      </c>
      <c r="AC289" s="33" t="s">
        <v>2552</v>
      </c>
      <c r="AD289" s="34" t="str">
        <f>IF(X289&lt;&gt;"",SUMIF(Rencontres_N3_PN_Rx[Code_JA],X289,Rencontres_N3_PN_Rx[Frais_JA])-SUMIF(Rencontres_N3_PN_Rx[Code_JA],X289,Rencontres_N3_PN_Rx[frais defiscalisable]),"")</f>
        <v/>
      </c>
      <c r="AE289" s="121" t="str">
        <f>IF(X289&lt;&gt;"",SUMIF(Rencontres_N3_PN_Rx[Code_JA],X289,Rencontres_N3_PN_Rx[frais defiscalisable]),"")</f>
        <v/>
      </c>
    </row>
    <row r="290" spans="1:31" x14ac:dyDescent="0.25">
      <c r="A290" s="19" t="s">
        <v>2426</v>
      </c>
      <c r="B290" s="20" t="s">
        <v>2427</v>
      </c>
      <c r="C290" s="21" t="s">
        <v>2428</v>
      </c>
      <c r="D290" s="21" t="s">
        <v>1267</v>
      </c>
      <c r="E290" s="21" t="s">
        <v>2429</v>
      </c>
      <c r="F290" s="19">
        <v>76520</v>
      </c>
      <c r="G290" s="21" t="s">
        <v>2430</v>
      </c>
      <c r="H290" s="42" t="s">
        <v>2431</v>
      </c>
      <c r="I290" s="43" t="s">
        <v>2432</v>
      </c>
      <c r="J290" s="43" t="s">
        <v>2433</v>
      </c>
      <c r="K290" s="44" t="s">
        <v>1625</v>
      </c>
      <c r="L290" s="21" t="s">
        <v>1626</v>
      </c>
      <c r="M290" s="19">
        <f>_xlfn.XLOOKUP(tab_JA[[#This Row],[Code]],Rencontres_N3_PN_Rx[Code_JA],Rencontres_N3_PN_Rx[prest],0,0)</f>
        <v>0</v>
      </c>
      <c r="N290" s="19" t="s">
        <v>36</v>
      </c>
      <c r="P290" s="27">
        <f>SUMIF(Rencontres_N3_PN_Rx[Code_JA],tab_JA[[#This Row],[Code]],Rencontres_N3_PN_Rx[Frais_JA])</f>
        <v>0</v>
      </c>
      <c r="W290" s="31" t="str">
        <f>IF(X290&lt;&gt;"",_xlfn.XLOOKUP(X290,tab_JA[Code],tab_JA[N_licence],"so"),"")</f>
        <v/>
      </c>
      <c r="AA290" s="33" t="s">
        <v>2552</v>
      </c>
      <c r="AB290" s="33" t="s">
        <v>2552</v>
      </c>
      <c r="AC290" s="33" t="s">
        <v>2552</v>
      </c>
      <c r="AD290" s="34" t="str">
        <f>IF(X290&lt;&gt;"",SUMIF(Rencontres_N3_PN_Rx[Code_JA],X290,Rencontres_N3_PN_Rx[Frais_JA])-SUMIF(Rencontres_N3_PN_Rx[Code_JA],X290,Rencontres_N3_PN_Rx[frais defiscalisable]),"")</f>
        <v/>
      </c>
      <c r="AE290" s="121" t="str">
        <f>IF(X290&lt;&gt;"",SUMIF(Rencontres_N3_PN_Rx[Code_JA],X290,Rencontres_N3_PN_Rx[frais defiscalisable]),"")</f>
        <v/>
      </c>
    </row>
    <row r="291" spans="1:31" x14ac:dyDescent="0.25">
      <c r="A291" s="19" t="s">
        <v>2418</v>
      </c>
      <c r="B291" s="20" t="s">
        <v>2419</v>
      </c>
      <c r="C291" s="21" t="s">
        <v>2420</v>
      </c>
      <c r="D291" s="21" t="s">
        <v>2421</v>
      </c>
      <c r="E291" s="21" t="s">
        <v>2422</v>
      </c>
      <c r="F291" s="19">
        <v>76570</v>
      </c>
      <c r="G291" s="21" t="s">
        <v>2423</v>
      </c>
      <c r="H291" s="42" t="s">
        <v>2424</v>
      </c>
      <c r="I291" s="43"/>
      <c r="J291" s="43" t="s">
        <v>2425</v>
      </c>
      <c r="K291" s="44" t="s">
        <v>199</v>
      </c>
      <c r="L291" s="21" t="s">
        <v>200</v>
      </c>
      <c r="M291" s="19">
        <f>_xlfn.XLOOKUP(tab_JA[[#This Row],[Code]],Rencontres_N3_PN_Rx[Code_JA],Rencontres_N3_PN_Rx[prest],0,0)</f>
        <v>0</v>
      </c>
      <c r="N291" s="19" t="s">
        <v>36</v>
      </c>
      <c r="P291" s="27">
        <f>SUMIF(Rencontres_N3_PN_Rx[Code_JA],tab_JA[[#This Row],[Code]],Rencontres_N3_PN_Rx[Frais_JA])</f>
        <v>0</v>
      </c>
      <c r="W291" s="31" t="str">
        <f>IF(X291&lt;&gt;"",_xlfn.XLOOKUP(X291,tab_JA[Code],tab_JA[N_licence],"so"),"")</f>
        <v/>
      </c>
      <c r="AA291" s="33" t="s">
        <v>2552</v>
      </c>
      <c r="AB291" s="33" t="s">
        <v>2552</v>
      </c>
      <c r="AC291" s="33" t="s">
        <v>2552</v>
      </c>
      <c r="AD291" s="34" t="str">
        <f>IF(X291&lt;&gt;"",SUMIF(Rencontres_N3_PN_Rx[Code_JA],X291,Rencontres_N3_PN_Rx[Frais_JA])-SUMIF(Rencontres_N3_PN_Rx[Code_JA],X291,Rencontres_N3_PN_Rx[frais defiscalisable]),"")</f>
        <v/>
      </c>
      <c r="AE291" s="121" t="str">
        <f>IF(X291&lt;&gt;"",SUMIF(Rencontres_N3_PN_Rx[Code_JA],X291,Rencontres_N3_PN_Rx[frais defiscalisable]),"")</f>
        <v/>
      </c>
    </row>
    <row r="292" spans="1:31" x14ac:dyDescent="0.25">
      <c r="A292" s="19" t="s">
        <v>2461</v>
      </c>
      <c r="B292" s="20" t="s">
        <v>2462</v>
      </c>
      <c r="C292" s="21" t="s">
        <v>2445</v>
      </c>
      <c r="D292" s="21" t="s">
        <v>893</v>
      </c>
      <c r="E292" s="21" t="s">
        <v>2446</v>
      </c>
      <c r="F292" s="19">
        <v>50100</v>
      </c>
      <c r="G292" s="21" t="s">
        <v>732</v>
      </c>
      <c r="H292" s="42" t="s">
        <v>2447</v>
      </c>
      <c r="I292" s="43" t="s">
        <v>2463</v>
      </c>
      <c r="J292" s="43" t="s">
        <v>2463</v>
      </c>
      <c r="K292" s="44" t="s">
        <v>734</v>
      </c>
      <c r="L292" s="21" t="s">
        <v>735</v>
      </c>
      <c r="M292" s="19">
        <f>_xlfn.XLOOKUP(tab_JA[[#This Row],[Code]],Rencontres_N3_PN_Rx[Code_JA],Rencontres_N3_PN_Rx[prest],0,0)</f>
        <v>0</v>
      </c>
      <c r="N292" s="19" t="s">
        <v>36</v>
      </c>
      <c r="P292" s="27">
        <f>SUMIF(Rencontres_N3_PN_Rx[Code_JA],tab_JA[[#This Row],[Code]],Rencontres_N3_PN_Rx[Frais_JA])</f>
        <v>0</v>
      </c>
      <c r="W292" s="31" t="str">
        <f>IF(X292&lt;&gt;"",_xlfn.XLOOKUP(X292,tab_JA[Code],tab_JA[N_licence],"so"),"")</f>
        <v/>
      </c>
      <c r="AA292" s="33" t="s">
        <v>2552</v>
      </c>
      <c r="AB292" s="33" t="s">
        <v>2552</v>
      </c>
      <c r="AC292" s="33" t="s">
        <v>2552</v>
      </c>
      <c r="AD292" s="34" t="str">
        <f>IF(X292&lt;&gt;"",SUMIF(Rencontres_N3_PN_Rx[Code_JA],X292,Rencontres_N3_PN_Rx[Frais_JA])-SUMIF(Rencontres_N3_PN_Rx[Code_JA],X292,Rencontres_N3_PN_Rx[frais defiscalisable]),"")</f>
        <v/>
      </c>
      <c r="AE292" s="121" t="str">
        <f>IF(X292&lt;&gt;"",SUMIF(Rencontres_N3_PN_Rx[Code_JA],X292,Rencontres_N3_PN_Rx[frais defiscalisable]),"")</f>
        <v/>
      </c>
    </row>
    <row r="293" spans="1:31" x14ac:dyDescent="0.25">
      <c r="A293" s="19" t="s">
        <v>2464</v>
      </c>
      <c r="B293" s="20" t="s">
        <v>2465</v>
      </c>
      <c r="C293" s="21" t="s">
        <v>2466</v>
      </c>
      <c r="D293" s="21" t="s">
        <v>2467</v>
      </c>
      <c r="E293" s="21" t="s">
        <v>2468</v>
      </c>
      <c r="F293" s="19">
        <v>27930</v>
      </c>
      <c r="G293" s="21" t="s">
        <v>2469</v>
      </c>
      <c r="H293" s="42" t="s">
        <v>2470</v>
      </c>
      <c r="I293" s="43" t="s">
        <v>2471</v>
      </c>
      <c r="J293" s="43" t="s">
        <v>2472</v>
      </c>
      <c r="K293" s="44" t="s">
        <v>2473</v>
      </c>
      <c r="L293" s="21" t="s">
        <v>2474</v>
      </c>
      <c r="M293" s="19">
        <f>_xlfn.XLOOKUP(tab_JA[[#This Row],[Code]],Rencontres_N3_PN_Rx[Code_JA],Rencontres_N3_PN_Rx[prest],0,0)</f>
        <v>0</v>
      </c>
      <c r="N293" s="19" t="s">
        <v>36</v>
      </c>
      <c r="P293" s="27">
        <f>SUMIF(Rencontres_N3_PN_Rx[Code_JA],tab_JA[[#This Row],[Code]],Rencontres_N3_PN_Rx[Frais_JA])</f>
        <v>0</v>
      </c>
      <c r="W293" s="31" t="str">
        <f>IF(X293&lt;&gt;"",_xlfn.XLOOKUP(X293,tab_JA[Code],tab_JA[N_licence],"so"),"")</f>
        <v/>
      </c>
      <c r="AA293" s="33" t="s">
        <v>2552</v>
      </c>
      <c r="AB293" s="33" t="s">
        <v>2552</v>
      </c>
      <c r="AC293" s="33" t="s">
        <v>2552</v>
      </c>
      <c r="AD293" s="34" t="str">
        <f>IF(X293&lt;&gt;"",SUMIF(Rencontres_N3_PN_Rx[Code_JA],X293,Rencontres_N3_PN_Rx[Frais_JA])-SUMIF(Rencontres_N3_PN_Rx[Code_JA],X293,Rencontres_N3_PN_Rx[frais defiscalisable]),"")</f>
        <v/>
      </c>
      <c r="AE293" s="121" t="str">
        <f>IF(X293&lt;&gt;"",SUMIF(Rencontres_N3_PN_Rx[Code_JA],X293,Rencontres_N3_PN_Rx[frais defiscalisable]),"")</f>
        <v/>
      </c>
    </row>
    <row r="294" spans="1:31" x14ac:dyDescent="0.25">
      <c r="A294" s="19" t="s">
        <v>2475</v>
      </c>
      <c r="B294" s="20" t="s">
        <v>2476</v>
      </c>
      <c r="C294" s="21" t="s">
        <v>2477</v>
      </c>
      <c r="D294" s="21" t="s">
        <v>438</v>
      </c>
      <c r="E294" s="21" t="s">
        <v>2478</v>
      </c>
      <c r="F294" s="19">
        <v>76120</v>
      </c>
      <c r="G294" s="21" t="s">
        <v>913</v>
      </c>
      <c r="H294" s="42" t="s">
        <v>2479</v>
      </c>
      <c r="I294" s="43" t="s">
        <v>2480</v>
      </c>
      <c r="J294" s="43" t="s">
        <v>2481</v>
      </c>
      <c r="K294" s="44" t="s">
        <v>414</v>
      </c>
      <c r="L294" s="21" t="s">
        <v>415</v>
      </c>
      <c r="M294" s="19">
        <f>_xlfn.XLOOKUP(tab_JA[[#This Row],[Code]],Rencontres_N3_PN_Rx[Code_JA],Rencontres_N3_PN_Rx[prest],0,0)</f>
        <v>0</v>
      </c>
      <c r="N294" s="19" t="s">
        <v>36</v>
      </c>
      <c r="P294" s="27">
        <f>SUMIF(Rencontres_N3_PN_Rx[Code_JA],tab_JA[[#This Row],[Code]],Rencontres_N3_PN_Rx[Frais_JA])</f>
        <v>0</v>
      </c>
      <c r="W294" s="31" t="str">
        <f>IF(X294&lt;&gt;"",_xlfn.XLOOKUP(X294,tab_JA[Code],tab_JA[N_licence],"so"),"")</f>
        <v/>
      </c>
      <c r="AA294" s="33" t="s">
        <v>2552</v>
      </c>
      <c r="AB294" s="33" t="s">
        <v>2552</v>
      </c>
      <c r="AC294" s="33" t="s">
        <v>2552</v>
      </c>
      <c r="AD294" s="34" t="str">
        <f>IF(X294&lt;&gt;"",SUMIF(Rencontres_N3_PN_Rx[Code_JA],X294,Rencontres_N3_PN_Rx[Frais_JA])-SUMIF(Rencontres_N3_PN_Rx[Code_JA],X294,Rencontres_N3_PN_Rx[frais defiscalisable]),"")</f>
        <v/>
      </c>
      <c r="AE294" s="121" t="str">
        <f>IF(X294&lt;&gt;"",SUMIF(Rencontres_N3_PN_Rx[Code_JA],X294,Rencontres_N3_PN_Rx[frais defiscalisable]),"")</f>
        <v/>
      </c>
    </row>
    <row r="295" spans="1:31" x14ac:dyDescent="0.25">
      <c r="A295" s="19" t="s">
        <v>2482</v>
      </c>
      <c r="B295" s="20" t="s">
        <v>2483</v>
      </c>
      <c r="C295" s="21" t="s">
        <v>2484</v>
      </c>
      <c r="D295" s="21" t="s">
        <v>1815</v>
      </c>
      <c r="E295" s="21" t="s">
        <v>2485</v>
      </c>
      <c r="F295" s="19">
        <v>14840</v>
      </c>
      <c r="G295" s="21" t="s">
        <v>2171</v>
      </c>
      <c r="H295" s="42" t="s">
        <v>2486</v>
      </c>
      <c r="I295" s="43"/>
      <c r="J295" s="43" t="s">
        <v>2487</v>
      </c>
      <c r="K295" s="44" t="s">
        <v>155</v>
      </c>
      <c r="L295" s="21" t="s">
        <v>156</v>
      </c>
      <c r="M295" s="19">
        <f>_xlfn.XLOOKUP(tab_JA[[#This Row],[Code]],Rencontres_N3_PN_Rx[Code_JA],Rencontres_N3_PN_Rx[prest],0,0)</f>
        <v>0</v>
      </c>
      <c r="N295" s="19" t="s">
        <v>36</v>
      </c>
      <c r="P295" s="27">
        <f>SUMIF(Rencontres_N3_PN_Rx[Code_JA],tab_JA[[#This Row],[Code]],Rencontres_N3_PN_Rx[Frais_JA])</f>
        <v>0</v>
      </c>
      <c r="W295" s="31" t="str">
        <f>IF(X295&lt;&gt;"",_xlfn.XLOOKUP(X295,tab_JA[Code],tab_JA[N_licence],"so"),"")</f>
        <v/>
      </c>
      <c r="AA295" s="33" t="s">
        <v>2552</v>
      </c>
      <c r="AB295" s="33" t="s">
        <v>2552</v>
      </c>
      <c r="AC295" s="33" t="s">
        <v>2552</v>
      </c>
      <c r="AD295" s="34" t="str">
        <f>IF(X295&lt;&gt;"",SUMIF(Rencontres_N3_PN_Rx[Code_JA],X295,Rencontres_N3_PN_Rx[Frais_JA])-SUMIF(Rencontres_N3_PN_Rx[Code_JA],X295,Rencontres_N3_PN_Rx[frais defiscalisable]),"")</f>
        <v/>
      </c>
      <c r="AE295" s="121" t="str">
        <f>IF(X295&lt;&gt;"",SUMIF(Rencontres_N3_PN_Rx[Code_JA],X295,Rencontres_N3_PN_Rx[frais defiscalisable]),"")</f>
        <v/>
      </c>
    </row>
    <row r="296" spans="1:31" x14ac:dyDescent="0.25">
      <c r="A296" s="19" t="s">
        <v>2488</v>
      </c>
      <c r="B296" s="20" t="s">
        <v>2489</v>
      </c>
      <c r="C296" s="21" t="s">
        <v>2490</v>
      </c>
      <c r="D296" s="21" t="s">
        <v>1099</v>
      </c>
      <c r="E296" s="21" t="s">
        <v>2491</v>
      </c>
      <c r="F296" s="19">
        <v>50220</v>
      </c>
      <c r="G296" s="21" t="s">
        <v>2492</v>
      </c>
      <c r="H296" s="42" t="s">
        <v>2493</v>
      </c>
      <c r="I296" s="43"/>
      <c r="J296" s="43" t="s">
        <v>2494</v>
      </c>
      <c r="K296" s="44" t="s">
        <v>2495</v>
      </c>
      <c r="L296" s="21" t="s">
        <v>2496</v>
      </c>
      <c r="M296" s="19">
        <f>_xlfn.XLOOKUP(tab_JA[[#This Row],[Code]],Rencontres_N3_PN_Rx[Code_JA],Rencontres_N3_PN_Rx[prest],0,0)</f>
        <v>1</v>
      </c>
      <c r="N296" s="19" t="s">
        <v>36</v>
      </c>
      <c r="P296" s="27">
        <f>SUMIF(Rencontres_N3_PN_Rx[Code_JA],tab_JA[[#This Row],[Code]],Rencontres_N3_PN_Rx[Frais_JA])</f>
        <v>35.799999999999997</v>
      </c>
      <c r="W296" s="31" t="str">
        <f>IF(X296&lt;&gt;"",_xlfn.XLOOKUP(X296,tab_JA[Code],tab_JA[N_licence],"so"),"")</f>
        <v/>
      </c>
      <c r="AA296" s="33" t="s">
        <v>2552</v>
      </c>
      <c r="AB296" s="33" t="s">
        <v>2552</v>
      </c>
      <c r="AC296" s="33" t="s">
        <v>2552</v>
      </c>
      <c r="AD296" s="34" t="str">
        <f>IF(X296&lt;&gt;"",SUMIF(Rencontres_N3_PN_Rx[Code_JA],X296,Rencontres_N3_PN_Rx[Frais_JA])-SUMIF(Rencontres_N3_PN_Rx[Code_JA],X296,Rencontres_N3_PN_Rx[frais defiscalisable]),"")</f>
        <v/>
      </c>
      <c r="AE296" s="121" t="str">
        <f>IF(X296&lt;&gt;"",SUMIF(Rencontres_N3_PN_Rx[Code_JA],X296,Rencontres_N3_PN_Rx[frais defiscalisable]),"")</f>
        <v/>
      </c>
    </row>
    <row r="297" spans="1:31" x14ac:dyDescent="0.25">
      <c r="A297" s="19" t="s">
        <v>2497</v>
      </c>
      <c r="B297" s="20" t="s">
        <v>2498</v>
      </c>
      <c r="C297" s="21" t="s">
        <v>2499</v>
      </c>
      <c r="D297" s="21" t="s">
        <v>2500</v>
      </c>
      <c r="E297" s="21" t="s">
        <v>2501</v>
      </c>
      <c r="F297" s="19">
        <v>14123</v>
      </c>
      <c r="G297" s="21" t="s">
        <v>2502</v>
      </c>
      <c r="H297" s="42" t="s">
        <v>2503</v>
      </c>
      <c r="I297" s="43"/>
      <c r="J297" s="43" t="s">
        <v>2504</v>
      </c>
      <c r="K297" s="44" t="s">
        <v>56</v>
      </c>
      <c r="L297" s="21" t="s">
        <v>57</v>
      </c>
      <c r="M297" s="19">
        <f>_xlfn.XLOOKUP(tab_JA[[#This Row],[Code]],Rencontres_N3_PN_Rx[Code_JA],Rencontres_N3_PN_Rx[prest],0,0)</f>
        <v>0</v>
      </c>
      <c r="N297" s="19" t="s">
        <v>36</v>
      </c>
      <c r="P297" s="27">
        <f>SUMIF(Rencontres_N3_PN_Rx[Code_JA],tab_JA[[#This Row],[Code]],Rencontres_N3_PN_Rx[Frais_JA])</f>
        <v>0</v>
      </c>
      <c r="W297" s="31" t="str">
        <f>IF(X297&lt;&gt;"",_xlfn.XLOOKUP(X297,tab_JA[Code],tab_JA[N_licence],"so"),"")</f>
        <v/>
      </c>
      <c r="AA297" s="33" t="s">
        <v>2552</v>
      </c>
      <c r="AB297" s="33" t="s">
        <v>2552</v>
      </c>
      <c r="AC297" s="33" t="s">
        <v>2552</v>
      </c>
      <c r="AD297" s="34" t="str">
        <f>IF(X297&lt;&gt;"",SUMIF(Rencontres_N3_PN_Rx[Code_JA],X297,Rencontres_N3_PN_Rx[Frais_JA])-SUMIF(Rencontres_N3_PN_Rx[Code_JA],X297,Rencontres_N3_PN_Rx[frais defiscalisable]),"")</f>
        <v/>
      </c>
      <c r="AE297" s="121" t="str">
        <f>IF(X297&lt;&gt;"",SUMIF(Rencontres_N3_PN_Rx[Code_JA],X297,Rencontres_N3_PN_Rx[frais defiscalisable]),"")</f>
        <v/>
      </c>
    </row>
    <row r="298" spans="1:31" x14ac:dyDescent="0.25">
      <c r="A298" s="19" t="s">
        <v>2505</v>
      </c>
      <c r="B298" s="20" t="s">
        <v>2506</v>
      </c>
      <c r="C298" s="21" t="s">
        <v>2507</v>
      </c>
      <c r="D298" s="21" t="s">
        <v>2508</v>
      </c>
      <c r="E298" s="21" t="s">
        <v>2509</v>
      </c>
      <c r="F298" s="19">
        <v>60240</v>
      </c>
      <c r="G298" s="21" t="s">
        <v>2510</v>
      </c>
      <c r="H298" s="42" t="s">
        <v>2511</v>
      </c>
      <c r="I298" s="43"/>
      <c r="J298" s="43" t="s">
        <v>2512</v>
      </c>
      <c r="K298" s="44" t="s">
        <v>199</v>
      </c>
      <c r="L298" s="21" t="s">
        <v>200</v>
      </c>
      <c r="M298" s="19">
        <f>_xlfn.XLOOKUP(tab_JA[[#This Row],[Code]],Rencontres_N3_PN_Rx[Code_JA],Rencontres_N3_PN_Rx[prest],0,0)</f>
        <v>0</v>
      </c>
      <c r="N298" s="19" t="s">
        <v>36</v>
      </c>
      <c r="P298" s="27">
        <f>SUMIF(Rencontres_N3_PN_Rx[Code_JA],tab_JA[[#This Row],[Code]],Rencontres_N3_PN_Rx[Frais_JA])</f>
        <v>0</v>
      </c>
      <c r="W298" s="31" t="str">
        <f>IF(X298&lt;&gt;"",_xlfn.XLOOKUP(X298,tab_JA[Code],tab_JA[N_licence],"so"),"")</f>
        <v/>
      </c>
      <c r="AA298" s="33" t="s">
        <v>2552</v>
      </c>
      <c r="AB298" s="33" t="s">
        <v>2552</v>
      </c>
      <c r="AC298" s="33" t="s">
        <v>2552</v>
      </c>
      <c r="AD298" s="34" t="str">
        <f>IF(X298&lt;&gt;"",SUMIF(Rencontres_N3_PN_Rx[Code_JA],X298,Rencontres_N3_PN_Rx[Frais_JA])-SUMIF(Rencontres_N3_PN_Rx[Code_JA],X298,Rencontres_N3_PN_Rx[frais defiscalisable]),"")</f>
        <v/>
      </c>
      <c r="AE298" s="121" t="str">
        <f>IF(X298&lt;&gt;"",SUMIF(Rencontres_N3_PN_Rx[Code_JA],X298,Rencontres_N3_PN_Rx[frais defiscalisable]),"")</f>
        <v/>
      </c>
    </row>
    <row r="299" spans="1:31" x14ac:dyDescent="0.25">
      <c r="A299" s="19" t="s">
        <v>2513</v>
      </c>
      <c r="B299" s="20" t="s">
        <v>2514</v>
      </c>
      <c r="C299" s="21" t="s">
        <v>2515</v>
      </c>
      <c r="D299" s="21" t="s">
        <v>963</v>
      </c>
      <c r="E299" s="21" t="s">
        <v>2516</v>
      </c>
      <c r="F299" s="19">
        <v>14970</v>
      </c>
      <c r="G299" s="21" t="s">
        <v>2517</v>
      </c>
      <c r="H299" s="42" t="s">
        <v>2518</v>
      </c>
      <c r="I299" s="43"/>
      <c r="J299" s="43" t="s">
        <v>2519</v>
      </c>
      <c r="K299" s="44" t="s">
        <v>538</v>
      </c>
      <c r="L299" s="21" t="s">
        <v>539</v>
      </c>
      <c r="M299" s="19">
        <f>_xlfn.XLOOKUP(tab_JA[[#This Row],[Code]],Rencontres_N3_PN_Rx[Code_JA],Rencontres_N3_PN_Rx[prest],0,0)</f>
        <v>0</v>
      </c>
      <c r="N299" s="19" t="s">
        <v>36</v>
      </c>
      <c r="P299" s="27">
        <f>SUMIF(Rencontres_N3_PN_Rx[Code_JA],tab_JA[[#This Row],[Code]],Rencontres_N3_PN_Rx[Frais_JA])</f>
        <v>0</v>
      </c>
    </row>
  </sheetData>
  <phoneticPr fontId="25" type="noConversion"/>
  <conditionalFormatting sqref="A2:A307">
    <cfRule type="duplicateValues" dxfId="39" priority="19"/>
  </conditionalFormatting>
  <conditionalFormatting sqref="A2:D299">
    <cfRule type="expression" dxfId="38" priority="8">
      <formula>VALUE(MID($K2,3,2))=$Q$5</formula>
    </cfRule>
    <cfRule type="expression" dxfId="37" priority="9">
      <formula>VALUE(MID($K2,3,2))=$Q$4</formula>
    </cfRule>
    <cfRule type="expression" dxfId="36" priority="10">
      <formula>VALUE(MID($K2,3,2))=$Q$3</formula>
    </cfRule>
    <cfRule type="expression" dxfId="35" priority="11">
      <formula>VALUE(MID($K2,3,2))=$Q$2</formula>
    </cfRule>
    <cfRule type="expression" dxfId="34" priority="12">
      <formula>VALUE(MID($K2,3,2))=$Q$1</formula>
    </cfRule>
  </conditionalFormatting>
  <conditionalFormatting sqref="A300:D300">
    <cfRule type="expression" dxfId="33" priority="21">
      <formula>VALUE(MID($K267,3,2))=$Q$4</formula>
    </cfRule>
    <cfRule type="expression" dxfId="32" priority="22">
      <formula>VALUE(MID($K300,3,2))=$Q$3</formula>
    </cfRule>
    <cfRule type="expression" dxfId="31" priority="23">
      <formula>VALUE(MID($K300,3,2))=$Q$2</formula>
    </cfRule>
    <cfRule type="expression" dxfId="30" priority="24">
      <formula>VALUE(MID($K300,3,2))=$Q$1</formula>
    </cfRule>
  </conditionalFormatting>
  <conditionalFormatting sqref="A300:D307">
    <cfRule type="expression" dxfId="29" priority="2">
      <formula>VALUE(MID($K300,3,2))=$Q$5</formula>
    </cfRule>
  </conditionalFormatting>
  <conditionalFormatting sqref="A301:D303">
    <cfRule type="expression" dxfId="28" priority="26">
      <formula>VALUE(MID(#REF!,3,2))=$Q$4</formula>
    </cfRule>
    <cfRule type="expression" dxfId="27" priority="27">
      <formula>VALUE(MID($K301,3,2))=$Q$3</formula>
    </cfRule>
    <cfRule type="expression" dxfId="26" priority="28">
      <formula>VALUE(MID($K301,3,2))=$Q$2</formula>
    </cfRule>
    <cfRule type="expression" dxfId="25" priority="29">
      <formula>VALUE(MID($K301,3,2))=$Q$1</formula>
    </cfRule>
  </conditionalFormatting>
  <conditionalFormatting sqref="A304:D307">
    <cfRule type="expression" dxfId="24" priority="3">
      <formula>VALUE(MID($K300,3,2))=$Q$4</formula>
    </cfRule>
    <cfRule type="expression" dxfId="23" priority="4">
      <formula>VALUE(MID($K304,3,2))=$Q$3</formula>
    </cfRule>
    <cfRule type="expression" dxfId="22" priority="5">
      <formula>VALUE(MID($K304,3,2))=$Q$2</formula>
    </cfRule>
    <cfRule type="expression" dxfId="21" priority="7">
      <formula>VALUE(MID($K304,3,2))=$Q$1</formula>
    </cfRule>
  </conditionalFormatting>
  <conditionalFormatting sqref="M2:M299">
    <cfRule type="expression" dxfId="20" priority="6">
      <formula>M2&gt;0</formula>
    </cfRule>
  </conditionalFormatting>
  <conditionalFormatting sqref="W2:AE100">
    <cfRule type="expression" dxfId="19" priority="1">
      <formula>AND($AE2&lt;&gt;0,$W2&lt;&gt;"")</formula>
    </cfRule>
  </conditionalFormatting>
  <dataValidations disablePrompts="1" count="1">
    <dataValidation type="list" allowBlank="1" showInputMessage="1" showErrorMessage="1" sqref="Q1:Q5" xr:uid="{F564DECB-E71B-450E-8194-CCD4F433E4F7}">
      <formula1>"14,27,50,61,76"</formula1>
    </dataValidation>
  </dataValidations>
  <printOptions horizontalCentered="1"/>
  <pageMargins left="0.39370078740157483" right="0.39370078740157483" top="0.51181102362204722" bottom="0.47" header="0.24" footer="0.18"/>
  <pageSetup paperSize="9" orientation="portrait" verticalDpi="300" r:id="rId1"/>
  <headerFooter alignWithMargins="0">
    <oddHeader>&amp;CLISTE DES JUGES ARBITRES</oddHeader>
    <oddFooter>&amp;C&amp;D&amp;R&amp;F  - &amp;A</oddFooter>
  </headerFooter>
  <rowBreaks count="1" manualBreakCount="1">
    <brk id="86" max="10" man="1"/>
  </rowBreaks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BAF63-17B7-4D34-B6CC-62D225CB945A}">
  <sheetPr codeName="Feuil2"/>
  <dimension ref="A1:AB171"/>
  <sheetViews>
    <sheetView topLeftCell="M1" workbookViewId="0">
      <selection activeCell="W27" sqref="W27"/>
    </sheetView>
  </sheetViews>
  <sheetFormatPr baseColWidth="10" defaultColWidth="11.5703125" defaultRowHeight="15" x14ac:dyDescent="0.25"/>
  <cols>
    <col min="1" max="1" width="5.7109375" style="101" customWidth="1"/>
    <col min="2" max="2" width="7.5703125" style="100" customWidth="1"/>
    <col min="3" max="3" width="11.42578125" style="100" customWidth="1"/>
    <col min="4" max="4" width="8.28515625" style="100" bestFit="1" customWidth="1"/>
    <col min="5" max="5" width="6" style="100" customWidth="1"/>
    <col min="6" max="6" width="3.28515625" style="100" customWidth="1"/>
    <col min="7" max="7" width="8.28515625" style="100" customWidth="1"/>
    <col min="8" max="8" width="4.28515625" style="100" customWidth="1"/>
    <col min="9" max="9" width="3.7109375" style="100" customWidth="1"/>
    <col min="10" max="10" width="3.42578125" style="100" customWidth="1"/>
    <col min="11" max="11" width="6.7109375" style="100" hidden="1" customWidth="1"/>
    <col min="12" max="12" width="8.85546875" style="100" bestFit="1" customWidth="1"/>
    <col min="13" max="13" width="9.140625" style="100" customWidth="1"/>
    <col min="14" max="14" width="27.140625" style="100" customWidth="1"/>
    <col min="15" max="15" width="27.28515625" style="100" customWidth="1"/>
    <col min="16" max="16" width="4.85546875" style="100" customWidth="1"/>
    <col min="17" max="17" width="6.85546875" style="100" customWidth="1"/>
    <col min="18" max="18" width="23.28515625" style="100" customWidth="1"/>
    <col min="19" max="19" width="7.42578125" style="101" bestFit="1" customWidth="1"/>
    <col min="20" max="20" width="10.42578125" style="102" bestFit="1" customWidth="1"/>
    <col min="21" max="21" width="9" style="103" bestFit="1" customWidth="1"/>
    <col min="22" max="22" width="9.85546875" style="102" bestFit="1" customWidth="1"/>
    <col min="23" max="23" width="9.5703125" style="100" bestFit="1" customWidth="1"/>
    <col min="24" max="24" width="19.7109375" style="100" bestFit="1" customWidth="1"/>
    <col min="25" max="25" width="6.85546875" style="100" customWidth="1"/>
    <col min="26" max="26" width="14.7109375" style="100" bestFit="1" customWidth="1"/>
    <col min="27" max="27" width="5.42578125" style="100" bestFit="1" customWidth="1"/>
    <col min="28" max="28" width="7.85546875" style="100" bestFit="1" customWidth="1"/>
    <col min="29" max="29" width="68.28515625" style="100" bestFit="1" customWidth="1"/>
    <col min="30" max="30" width="10.85546875" style="100" bestFit="1" customWidth="1"/>
    <col min="31" max="31" width="68.28515625" style="100" customWidth="1"/>
    <col min="32" max="32" width="11.28515625" style="100" bestFit="1" customWidth="1"/>
    <col min="33" max="33" width="68" style="100" bestFit="1" customWidth="1"/>
    <col min="34" max="35" width="11.28515625" style="100" bestFit="1" customWidth="1"/>
    <col min="36" max="16384" width="11.5703125" style="100"/>
  </cols>
  <sheetData>
    <row r="1" spans="1:28" x14ac:dyDescent="0.25">
      <c r="A1" s="100" t="s">
        <v>2520</v>
      </c>
      <c r="B1" s="100" t="s">
        <v>2521</v>
      </c>
      <c r="C1" s="100" t="s">
        <v>2522</v>
      </c>
      <c r="D1" s="100" t="s">
        <v>2523</v>
      </c>
      <c r="E1" s="100" t="s">
        <v>2524</v>
      </c>
      <c r="F1" s="100" t="s">
        <v>2525</v>
      </c>
      <c r="G1" s="100" t="s">
        <v>2526</v>
      </c>
      <c r="H1" s="100" t="s">
        <v>2527</v>
      </c>
      <c r="I1" s="100" t="s">
        <v>2528</v>
      </c>
      <c r="J1" s="100" t="s">
        <v>2529</v>
      </c>
      <c r="K1" s="100" t="s">
        <v>2530</v>
      </c>
      <c r="L1" s="100" t="s">
        <v>2531</v>
      </c>
      <c r="M1" s="100" t="s">
        <v>2532</v>
      </c>
      <c r="N1" s="100" t="s">
        <v>2533</v>
      </c>
      <c r="O1" s="100" t="s">
        <v>2534</v>
      </c>
      <c r="P1" s="100" t="s">
        <v>2535</v>
      </c>
      <c r="Q1" s="100" t="s">
        <v>2536</v>
      </c>
      <c r="R1" s="100" t="s">
        <v>19</v>
      </c>
      <c r="S1" s="101" t="s">
        <v>2537</v>
      </c>
      <c r="T1" s="102" t="s">
        <v>2538</v>
      </c>
      <c r="U1" s="103" t="s">
        <v>2539</v>
      </c>
      <c r="V1" s="100" t="s">
        <v>2540</v>
      </c>
      <c r="W1" s="100" t="s">
        <v>4145</v>
      </c>
      <c r="X1" s="119" t="s">
        <v>4146</v>
      </c>
      <c r="Z1" t="s">
        <v>19</v>
      </c>
      <c r="AA1" t="s">
        <v>2537</v>
      </c>
      <c r="AB1" t="s">
        <v>2540</v>
      </c>
    </row>
    <row r="2" spans="1:28" x14ac:dyDescent="0.25">
      <c r="A2" s="101">
        <v>1</v>
      </c>
      <c r="B2" s="100" t="s">
        <v>2541</v>
      </c>
      <c r="C2" s="104">
        <v>45913</v>
      </c>
      <c r="D2" s="100" t="s">
        <v>2542</v>
      </c>
      <c r="E2" s="106" t="s">
        <v>4129</v>
      </c>
      <c r="F2" s="100" t="s">
        <v>2543</v>
      </c>
      <c r="G2" s="100" t="s">
        <v>2544</v>
      </c>
      <c r="H2" s="100" t="s">
        <v>2545</v>
      </c>
      <c r="I2" s="100">
        <v>2</v>
      </c>
      <c r="J2" s="100">
        <v>1</v>
      </c>
      <c r="L2" s="100" t="s">
        <v>2546</v>
      </c>
      <c r="M2" s="100" t="s">
        <v>189</v>
      </c>
      <c r="N2" s="100" t="s">
        <v>2547</v>
      </c>
      <c r="O2" s="100" t="s">
        <v>2548</v>
      </c>
      <c r="P2" s="100">
        <v>50</v>
      </c>
      <c r="Q2" s="100" t="s">
        <v>1698</v>
      </c>
      <c r="R2" s="100" t="str">
        <f>IFERROR(VLOOKUP(Rencontres_N3_PN_Rx[[#This Row],[Code_JA]],tab_JA[#All],3,FALSE)&amp;" "&amp;VLOOKUP(Rencontres_N3_PN_Rx[[#This Row],[Code_JA]],tab_JA[#All],4,FALSE),"")</f>
        <v>LEMONNIER Marie-Agnes</v>
      </c>
      <c r="S2" s="101">
        <f>IF(Rencontres_N3_PN_Rx[[#This Row],[Code_JA]]&lt;&gt;"",COUNTIF(Rencontres_N3_PN_Rx[Code_JA],Rencontres_N3_PN_Rx[[#This Row],[Code_JA]]),0)</f>
        <v>2</v>
      </c>
      <c r="T2" s="102">
        <v>0</v>
      </c>
      <c r="U2" s="103">
        <v>118</v>
      </c>
      <c r="V2" s="102">
        <f>IF(AND(Rencontres_N3_PN_Rx[[#This Row],[JA à nommer]]="oui",Rencontres_N3_PN_Rx[[#This Row],[Code_JA]]&lt;&gt;""),Rencontres_N3_PN_Rx[[#This Row],[Peages]]+(Rencontres_N3_PN_Rx[[#This Row],[KM_JA]]*0.3)+25,0)</f>
        <v>60.4</v>
      </c>
      <c r="W2" s="100" t="s">
        <v>4128</v>
      </c>
      <c r="X2" s="102">
        <f>IF(Rencontres_N3_PN_Rx[[#This Row],[defiscal]]="OUI",Rencontres_N3_PN_Rx[[#This Row],[Peages]]+(Rencontres_N3_PN_Rx[[#This Row],[KM_JA]]*0.3),0)</f>
        <v>0</v>
      </c>
      <c r="Z2" cm="1">
        <f t="array" ref="Z2">SUMPRODUCT((_xlfn.ISFORMULA(Rencontres_N3_PN_Rx[Nom Prenom JA])=FALSE)*1)</f>
        <v>0</v>
      </c>
      <c r="AA2" cm="1">
        <f t="array" ref="AA2">SUMPRODUCT((_xlfn.ISFORMULA(Rencontres_N3_PN_Rx[prest])=FALSE)*1)</f>
        <v>0</v>
      </c>
      <c r="AB2" cm="1">
        <f t="array" ref="AB2">SUMPRODUCT((_xlfn.ISFORMULA(Rencontres_N3_PN_Rx[Frais_JA])=FALSE)*1)</f>
        <v>0</v>
      </c>
    </row>
    <row r="3" spans="1:28" x14ac:dyDescent="0.25">
      <c r="A3" s="101">
        <v>2</v>
      </c>
      <c r="B3" s="100" t="s">
        <v>2541</v>
      </c>
      <c r="C3" s="104">
        <v>45913</v>
      </c>
      <c r="D3" s="100" t="s">
        <v>2542</v>
      </c>
      <c r="E3" s="106" t="s">
        <v>4129</v>
      </c>
      <c r="F3" s="100" t="s">
        <v>2543</v>
      </c>
      <c r="G3" s="100" t="s">
        <v>2544</v>
      </c>
      <c r="H3" s="100" t="s">
        <v>2549</v>
      </c>
      <c r="I3" s="100">
        <v>8</v>
      </c>
      <c r="J3" s="100">
        <v>1</v>
      </c>
      <c r="L3" s="100" t="s">
        <v>2546</v>
      </c>
      <c r="M3" s="100" t="s">
        <v>478</v>
      </c>
      <c r="N3" s="100" t="s">
        <v>2550</v>
      </c>
      <c r="O3" s="100" t="s">
        <v>2551</v>
      </c>
      <c r="P3" s="100">
        <v>50</v>
      </c>
      <c r="Q3" s="100" t="s">
        <v>3269</v>
      </c>
      <c r="R3" s="100" t="str">
        <f>IFERROR(VLOOKUP(Rencontres_N3_PN_Rx[[#This Row],[Code_JA]],tab_JA[#All],3,FALSE)&amp;" "&amp;VLOOKUP(Rencontres_N3_PN_Rx[[#This Row],[Code_JA]],tab_JA[#All],4,FALSE),"")</f>
        <v>BELLAND Ludovic</v>
      </c>
      <c r="S3" s="101">
        <f>IF(Rencontres_N3_PN_Rx[[#This Row],[Code_JA]]&lt;&gt;"",COUNTIF(Rencontres_N3_PN_Rx[Code_JA],Rencontres_N3_PN_Rx[[#This Row],[Code_JA]]),0)</f>
        <v>2</v>
      </c>
      <c r="T3" s="102">
        <v>0</v>
      </c>
      <c r="U3" s="103">
        <v>134</v>
      </c>
      <c r="V3" s="102">
        <f>IF(AND(Rencontres_N3_PN_Rx[[#This Row],[JA à nommer]]="oui",Rencontres_N3_PN_Rx[[#This Row],[Code_JA]]&lt;&gt;""),Rencontres_N3_PN_Rx[[#This Row],[Peages]]+(Rencontres_N3_PN_Rx[[#This Row],[KM_JA]]*0.3)+25,0)</f>
        <v>65.199999999999989</v>
      </c>
      <c r="W3" s="100" t="s">
        <v>4129</v>
      </c>
      <c r="X3" s="102">
        <f>IF(Rencontres_N3_PN_Rx[[#This Row],[defiscal]]="OUI",Rencontres_N3_PN_Rx[[#This Row],[Peages]]+(Rencontres_N3_PN_Rx[[#This Row],[KM_JA]]*0.3),0)</f>
        <v>40.199999999999996</v>
      </c>
    </row>
    <row r="4" spans="1:28" x14ac:dyDescent="0.25">
      <c r="A4" s="101">
        <v>3</v>
      </c>
      <c r="B4" s="100" t="s">
        <v>2541</v>
      </c>
      <c r="C4" s="104">
        <v>45920</v>
      </c>
      <c r="D4" s="100" t="s">
        <v>2542</v>
      </c>
      <c r="E4" s="106" t="s">
        <v>4129</v>
      </c>
      <c r="F4" s="100" t="s">
        <v>2543</v>
      </c>
      <c r="G4" s="100" t="s">
        <v>2566</v>
      </c>
      <c r="H4" s="100" t="s">
        <v>2557</v>
      </c>
      <c r="I4" s="100">
        <v>1</v>
      </c>
      <c r="J4" s="100">
        <v>1</v>
      </c>
      <c r="L4" s="100" t="s">
        <v>2546</v>
      </c>
      <c r="M4" s="100" t="s">
        <v>294</v>
      </c>
      <c r="N4" s="100" t="s">
        <v>2573</v>
      </c>
      <c r="O4" s="100" t="s">
        <v>2574</v>
      </c>
      <c r="P4" s="100">
        <v>50</v>
      </c>
      <c r="Q4" s="100" t="s">
        <v>2055</v>
      </c>
      <c r="R4" s="100" t="str">
        <f>IFERROR(VLOOKUP(Rencontres_N3_PN_Rx[[#This Row],[Code_JA]],tab_JA[#All],3,FALSE)&amp;" "&amp;VLOOKUP(Rencontres_N3_PN_Rx[[#This Row],[Code_JA]],tab_JA[#All],4,FALSE),"")</f>
        <v>ORRIOLS Jean-Marc</v>
      </c>
      <c r="S4" s="101">
        <f>IF(Rencontres_N3_PN_Rx[[#This Row],[Code_JA]]&lt;&gt;"",COUNTIF(Rencontres_N3_PN_Rx[Code_JA],Rencontres_N3_PN_Rx[[#This Row],[Code_JA]]),0)</f>
        <v>1</v>
      </c>
      <c r="T4" s="102">
        <v>0</v>
      </c>
      <c r="U4" s="103">
        <v>18</v>
      </c>
      <c r="V4" s="102">
        <f>IF(AND(Rencontres_N3_PN_Rx[[#This Row],[JA à nommer]]="oui",Rencontres_N3_PN_Rx[[#This Row],[Code_JA]]&lt;&gt;""),Rencontres_N3_PN_Rx[[#This Row],[Peages]]+(Rencontres_N3_PN_Rx[[#This Row],[KM_JA]]*0.3)+25,0)</f>
        <v>30.4</v>
      </c>
      <c r="W4" s="100" t="s">
        <v>4128</v>
      </c>
      <c r="X4" s="102">
        <f>IF(Rencontres_N3_PN_Rx[[#This Row],[defiscal]]="OUI",Rencontres_N3_PN_Rx[[#This Row],[Peages]]+(Rencontres_N3_PN_Rx[[#This Row],[KM_JA]]*0.3),0)</f>
        <v>0</v>
      </c>
    </row>
    <row r="5" spans="1:28" x14ac:dyDescent="0.25">
      <c r="A5" s="101">
        <v>4</v>
      </c>
      <c r="B5" s="100" t="s">
        <v>2541</v>
      </c>
      <c r="C5" s="104">
        <v>45920</v>
      </c>
      <c r="D5" s="100" t="s">
        <v>2542</v>
      </c>
      <c r="E5" s="106" t="s">
        <v>4129</v>
      </c>
      <c r="F5" s="100" t="s">
        <v>2543</v>
      </c>
      <c r="G5" s="100" t="s">
        <v>2566</v>
      </c>
      <c r="H5" s="100" t="s">
        <v>2557</v>
      </c>
      <c r="I5" s="100">
        <v>2</v>
      </c>
      <c r="J5" s="100">
        <v>1</v>
      </c>
      <c r="L5" s="100" t="s">
        <v>2546</v>
      </c>
      <c r="M5" s="100" t="s">
        <v>478</v>
      </c>
      <c r="N5" s="100" t="s">
        <v>2577</v>
      </c>
      <c r="O5" s="100" t="s">
        <v>2578</v>
      </c>
      <c r="P5" s="100">
        <v>50</v>
      </c>
      <c r="Q5" s="100" t="s">
        <v>3296</v>
      </c>
      <c r="R5" s="100" t="str">
        <f>IFERROR(VLOOKUP(Rencontres_N3_PN_Rx[[#This Row],[Code_JA]],tab_JA[#All],3,FALSE)&amp;" "&amp;VLOOKUP(Rencontres_N3_PN_Rx[[#This Row],[Code_JA]],tab_JA[#All],4,FALSE),"")</f>
        <v>JOUIN JEHAN Corentin</v>
      </c>
      <c r="S5" s="101">
        <f>IF(Rencontres_N3_PN_Rx[[#This Row],[Code_JA]]&lt;&gt;"",COUNTIF(Rencontres_N3_PN_Rx[Code_JA],Rencontres_N3_PN_Rx[[#This Row],[Code_JA]]),0)</f>
        <v>9</v>
      </c>
      <c r="T5" s="102">
        <v>0</v>
      </c>
      <c r="U5" s="103">
        <v>23</v>
      </c>
      <c r="V5" s="102">
        <f>IF(AND(Rencontres_N3_PN_Rx[[#This Row],[JA à nommer]]="oui",Rencontres_N3_PN_Rx[[#This Row],[Code_JA]]&lt;&gt;""),Rencontres_N3_PN_Rx[[#This Row],[Peages]]+(Rencontres_N3_PN_Rx[[#This Row],[KM_JA]]*0.3)+25,0)</f>
        <v>31.9</v>
      </c>
      <c r="X5" s="102">
        <f>IF(Rencontres_N3_PN_Rx[[#This Row],[defiscal]]="OUI",Rencontres_N3_PN_Rx[[#This Row],[Peages]]+(Rencontres_N3_PN_Rx[[#This Row],[KM_JA]]*0.3),0)</f>
        <v>0</v>
      </c>
    </row>
    <row r="6" spans="1:28" x14ac:dyDescent="0.25">
      <c r="A6" s="101">
        <v>5</v>
      </c>
      <c r="B6" s="100" t="s">
        <v>2541</v>
      </c>
      <c r="C6" s="104">
        <v>45920</v>
      </c>
      <c r="D6" s="100" t="s">
        <v>2542</v>
      </c>
      <c r="E6" s="106" t="s">
        <v>4129</v>
      </c>
      <c r="F6" s="100" t="s">
        <v>2543</v>
      </c>
      <c r="G6" s="100" t="s">
        <v>2566</v>
      </c>
      <c r="H6" s="100" t="s">
        <v>2557</v>
      </c>
      <c r="I6" s="100">
        <v>2</v>
      </c>
      <c r="J6" s="100">
        <v>1</v>
      </c>
      <c r="L6" s="100" t="s">
        <v>2546</v>
      </c>
      <c r="M6" s="100" t="s">
        <v>1364</v>
      </c>
      <c r="N6" s="100" t="s">
        <v>2579</v>
      </c>
      <c r="O6" s="100" t="s">
        <v>2580</v>
      </c>
      <c r="P6" s="100">
        <v>50</v>
      </c>
      <c r="Q6" s="100" t="s">
        <v>1366</v>
      </c>
      <c r="R6" s="100" t="str">
        <f>IFERROR(VLOOKUP(Rencontres_N3_PN_Rx[[#This Row],[Code_JA]],tab_JA[#All],3,FALSE)&amp;" "&amp;VLOOKUP(Rencontres_N3_PN_Rx[[#This Row],[Code_JA]],tab_JA[#All],4,FALSE),"")</f>
        <v>JOURDAIN Jean-Francois</v>
      </c>
      <c r="S6" s="101">
        <f>IF(Rencontres_N3_PN_Rx[[#This Row],[Code_JA]]&lt;&gt;"",COUNTIF(Rencontres_N3_PN_Rx[Code_JA],Rencontres_N3_PN_Rx[[#This Row],[Code_JA]]),0)</f>
        <v>6</v>
      </c>
      <c r="T6" s="102">
        <v>0</v>
      </c>
      <c r="U6" s="103">
        <v>29.5</v>
      </c>
      <c r="V6" s="102">
        <f>IF(AND(Rencontres_N3_PN_Rx[[#This Row],[JA à nommer]]="oui",Rencontres_N3_PN_Rx[[#This Row],[Code_JA]]&lt;&gt;""),Rencontres_N3_PN_Rx[[#This Row],[Peages]]+(Rencontres_N3_PN_Rx[[#This Row],[KM_JA]]*0.3)+25,0)</f>
        <v>33.85</v>
      </c>
      <c r="X6" s="102">
        <f>IF(Rencontres_N3_PN_Rx[[#This Row],[defiscal]]="OUI",Rencontres_N3_PN_Rx[[#This Row],[Peages]]+(Rencontres_N3_PN_Rx[[#This Row],[KM_JA]]*0.3),0)</f>
        <v>0</v>
      </c>
    </row>
    <row r="7" spans="1:28" x14ac:dyDescent="0.25">
      <c r="A7" s="101">
        <v>6</v>
      </c>
      <c r="B7" s="100" t="s">
        <v>2541</v>
      </c>
      <c r="C7" s="104">
        <v>45920</v>
      </c>
      <c r="D7" s="100" t="s">
        <v>2542</v>
      </c>
      <c r="E7" s="106" t="s">
        <v>4129</v>
      </c>
      <c r="F7" s="100" t="s">
        <v>2543</v>
      </c>
      <c r="G7" s="100" t="s">
        <v>2566</v>
      </c>
      <c r="H7" s="100" t="s">
        <v>2581</v>
      </c>
      <c r="I7" s="100">
        <v>1</v>
      </c>
      <c r="J7" s="100">
        <v>1</v>
      </c>
      <c r="L7" s="100" t="s">
        <v>2546</v>
      </c>
      <c r="M7" s="100" t="s">
        <v>173</v>
      </c>
      <c r="N7" s="100" t="s">
        <v>2582</v>
      </c>
      <c r="O7" s="100" t="s">
        <v>2583</v>
      </c>
      <c r="P7" s="100">
        <v>50</v>
      </c>
      <c r="Q7" s="100" t="s">
        <v>3325</v>
      </c>
      <c r="R7" s="100" t="str">
        <f>IFERROR(VLOOKUP(Rencontres_N3_PN_Rx[[#This Row],[Code_JA]],tab_JA[#All],3,FALSE)&amp;" "&amp;VLOOKUP(Rencontres_N3_PN_Rx[[#This Row],[Code_JA]],tab_JA[#All],4,FALSE),"")</f>
        <v>LUCAS Stephanie</v>
      </c>
      <c r="S7" s="101">
        <f>IF(Rencontres_N3_PN_Rx[[#This Row],[Code_JA]]&lt;&gt;"",COUNTIF(Rencontres_N3_PN_Rx[Code_JA],Rencontres_N3_PN_Rx[[#This Row],[Code_JA]]),0)</f>
        <v>7</v>
      </c>
      <c r="T7" s="102">
        <v>0</v>
      </c>
      <c r="U7" s="103">
        <v>12.6</v>
      </c>
      <c r="V7" s="102">
        <f>IF(AND(Rencontres_N3_PN_Rx[[#This Row],[JA à nommer]]="oui",Rencontres_N3_PN_Rx[[#This Row],[Code_JA]]&lt;&gt;""),Rencontres_N3_PN_Rx[[#This Row],[Peages]]+(Rencontres_N3_PN_Rx[[#This Row],[KM_JA]]*0.3)+25,0)</f>
        <v>28.78</v>
      </c>
      <c r="X7" s="102">
        <f>IF(Rencontres_N3_PN_Rx[[#This Row],[defiscal]]="OUI",Rencontres_N3_PN_Rx[[#This Row],[Peages]]+(Rencontres_N3_PN_Rx[[#This Row],[KM_JA]]*0.3),0)</f>
        <v>0</v>
      </c>
    </row>
    <row r="8" spans="1:28" x14ac:dyDescent="0.25">
      <c r="A8" s="101">
        <v>7</v>
      </c>
      <c r="B8" s="100" t="s">
        <v>2541</v>
      </c>
      <c r="C8" s="104">
        <v>45920</v>
      </c>
      <c r="D8" s="100" t="s">
        <v>2542</v>
      </c>
      <c r="E8" s="106" t="s">
        <v>4129</v>
      </c>
      <c r="F8" s="100" t="s">
        <v>2543</v>
      </c>
      <c r="G8" s="100" t="s">
        <v>2566</v>
      </c>
      <c r="H8" s="100" t="s">
        <v>2581</v>
      </c>
      <c r="I8" s="100">
        <v>1</v>
      </c>
      <c r="J8" s="100">
        <v>1</v>
      </c>
      <c r="L8" s="100" t="s">
        <v>2546</v>
      </c>
      <c r="M8" s="100" t="s">
        <v>98</v>
      </c>
      <c r="N8" s="100" t="s">
        <v>2586</v>
      </c>
      <c r="O8" s="100" t="s">
        <v>2587</v>
      </c>
      <c r="P8" s="100">
        <v>50</v>
      </c>
      <c r="Q8" s="100" t="s">
        <v>2434</v>
      </c>
      <c r="R8" s="100" t="str">
        <f>IFERROR(VLOOKUP(Rencontres_N3_PN_Rx[[#This Row],[Code_JA]],tab_JA[#All],3,FALSE)&amp;" "&amp;VLOOKUP(Rencontres_N3_PN_Rx[[#This Row],[Code_JA]],tab_JA[#All],4,FALSE),"")</f>
        <v>VASSE Agnes</v>
      </c>
      <c r="S8" s="101">
        <f>IF(Rencontres_N3_PN_Rx[[#This Row],[Code_JA]]&lt;&gt;"",COUNTIF(Rencontres_N3_PN_Rx[Code_JA],Rencontres_N3_PN_Rx[[#This Row],[Code_JA]]),0)</f>
        <v>6</v>
      </c>
      <c r="T8" s="102">
        <v>0</v>
      </c>
      <c r="U8" s="103">
        <v>60</v>
      </c>
      <c r="V8" s="102">
        <f>IF(AND(Rencontres_N3_PN_Rx[[#This Row],[JA à nommer]]="oui",Rencontres_N3_PN_Rx[[#This Row],[Code_JA]]&lt;&gt;""),Rencontres_N3_PN_Rx[[#This Row],[Peages]]+(Rencontres_N3_PN_Rx[[#This Row],[KM_JA]]*0.3)+25,0)</f>
        <v>43</v>
      </c>
      <c r="X8" s="102">
        <f>IF(Rencontres_N3_PN_Rx[[#This Row],[defiscal]]="OUI",Rencontres_N3_PN_Rx[[#This Row],[Peages]]+(Rencontres_N3_PN_Rx[[#This Row],[KM_JA]]*0.3),0)</f>
        <v>0</v>
      </c>
    </row>
    <row r="9" spans="1:28" x14ac:dyDescent="0.25">
      <c r="A9" s="101">
        <v>8</v>
      </c>
      <c r="B9" s="100" t="s">
        <v>2541</v>
      </c>
      <c r="C9" s="104">
        <v>45920</v>
      </c>
      <c r="D9" s="100" t="s">
        <v>2542</v>
      </c>
      <c r="E9" s="106" t="s">
        <v>4129</v>
      </c>
      <c r="F9" s="100" t="s">
        <v>2543</v>
      </c>
      <c r="G9" s="100" t="s">
        <v>2566</v>
      </c>
      <c r="H9" s="100" t="s">
        <v>2581</v>
      </c>
      <c r="I9" s="100">
        <v>2</v>
      </c>
      <c r="J9" s="100">
        <v>1</v>
      </c>
      <c r="L9" s="100" t="s">
        <v>2546</v>
      </c>
      <c r="M9" s="100" t="s">
        <v>1364</v>
      </c>
      <c r="N9" s="100" t="s">
        <v>2592</v>
      </c>
      <c r="O9" s="100" t="s">
        <v>2593</v>
      </c>
      <c r="P9" s="100">
        <v>50</v>
      </c>
      <c r="Q9" s="100" t="s">
        <v>1366</v>
      </c>
      <c r="R9" s="100" t="str">
        <f>IFERROR(VLOOKUP(Rencontres_N3_PN_Rx[[#This Row],[Code_JA]],tab_JA[#All],3,FALSE)&amp;" "&amp;VLOOKUP(Rencontres_N3_PN_Rx[[#This Row],[Code_JA]],tab_JA[#All],4,FALSE),"")</f>
        <v>JOURDAIN Jean-Francois</v>
      </c>
      <c r="S9" s="101">
        <f>IF(Rencontres_N3_PN_Rx[[#This Row],[Code_JA]]&lt;&gt;"",COUNTIF(Rencontres_N3_PN_Rx[Code_JA],Rencontres_N3_PN_Rx[[#This Row],[Code_JA]]),0)</f>
        <v>6</v>
      </c>
      <c r="T9" s="102">
        <v>0</v>
      </c>
      <c r="U9" s="103">
        <v>29.5</v>
      </c>
      <c r="V9" s="102">
        <f>IF(AND(Rencontres_N3_PN_Rx[[#This Row],[JA à nommer]]="oui",Rencontres_N3_PN_Rx[[#This Row],[Code_JA]]&lt;&gt;""),Rencontres_N3_PN_Rx[[#This Row],[Peages]]+(Rencontres_N3_PN_Rx[[#This Row],[KM_JA]]*0.3)+25,0)</f>
        <v>33.85</v>
      </c>
      <c r="X9" s="102">
        <f>IF(Rencontres_N3_PN_Rx[[#This Row],[defiscal]]="OUI",Rencontres_N3_PN_Rx[[#This Row],[Peages]]+(Rencontres_N3_PN_Rx[[#This Row],[KM_JA]]*0.3),0)</f>
        <v>0</v>
      </c>
    </row>
    <row r="10" spans="1:28" x14ac:dyDescent="0.25">
      <c r="A10" s="101">
        <v>9</v>
      </c>
      <c r="B10" s="100" t="s">
        <v>2541</v>
      </c>
      <c r="C10" s="104">
        <v>45920</v>
      </c>
      <c r="D10" s="100" t="s">
        <v>2542</v>
      </c>
      <c r="E10" s="106" t="s">
        <v>4129</v>
      </c>
      <c r="F10" s="100" t="s">
        <v>2543</v>
      </c>
      <c r="G10" s="100" t="s">
        <v>2566</v>
      </c>
      <c r="H10" s="100" t="s">
        <v>2581</v>
      </c>
      <c r="I10" s="100">
        <v>3</v>
      </c>
      <c r="J10" s="100">
        <v>1</v>
      </c>
      <c r="L10" s="100" t="s">
        <v>2546</v>
      </c>
      <c r="M10" s="100" t="s">
        <v>2063</v>
      </c>
      <c r="N10" s="100" t="s">
        <v>2598</v>
      </c>
      <c r="O10" s="100" t="s">
        <v>2599</v>
      </c>
      <c r="P10" s="100">
        <v>50</v>
      </c>
      <c r="Q10" s="100" t="s">
        <v>3315</v>
      </c>
      <c r="R10" s="100" t="str">
        <f>IFERROR(VLOOKUP(Rencontres_N3_PN_Rx[[#This Row],[Code_JA]],tab_JA[#All],3,FALSE)&amp;" "&amp;VLOOKUP(Rencontres_N3_PN_Rx[[#This Row],[Code_JA]],tab_JA[#All],4,FALSE),"")</f>
        <v>LEPETIT Jean-Marc</v>
      </c>
      <c r="S10" s="101">
        <f>IF(Rencontres_N3_PN_Rx[[#This Row],[Code_JA]]&lt;&gt;"",COUNTIF(Rencontres_N3_PN_Rx[Code_JA],Rencontres_N3_PN_Rx[[#This Row],[Code_JA]]),0)</f>
        <v>3</v>
      </c>
      <c r="T10" s="102">
        <v>0</v>
      </c>
      <c r="U10" s="103">
        <v>25</v>
      </c>
      <c r="V10" s="102">
        <f>IF(AND(Rencontres_N3_PN_Rx[[#This Row],[JA à nommer]]="oui",Rencontres_N3_PN_Rx[[#This Row],[Code_JA]]&lt;&gt;""),Rencontres_N3_PN_Rx[[#This Row],[Peages]]+(Rencontres_N3_PN_Rx[[#This Row],[KM_JA]]*0.3)+25,0)</f>
        <v>32.5</v>
      </c>
      <c r="X10" s="102">
        <f>IF(Rencontres_N3_PN_Rx[[#This Row],[defiscal]]="OUI",Rencontres_N3_PN_Rx[[#This Row],[Peages]]+(Rencontres_N3_PN_Rx[[#This Row],[KM_JA]]*0.3),0)</f>
        <v>0</v>
      </c>
    </row>
    <row r="11" spans="1:28" x14ac:dyDescent="0.25">
      <c r="A11" s="101">
        <v>10</v>
      </c>
      <c r="B11" s="100" t="s">
        <v>2541</v>
      </c>
      <c r="C11" s="104">
        <v>45920</v>
      </c>
      <c r="D11" s="100" t="s">
        <v>2542</v>
      </c>
      <c r="E11" s="106" t="s">
        <v>4129</v>
      </c>
      <c r="F11" s="100" t="s">
        <v>2543</v>
      </c>
      <c r="G11" s="100" t="s">
        <v>2566</v>
      </c>
      <c r="H11" s="100" t="s">
        <v>2600</v>
      </c>
      <c r="I11" s="100">
        <v>1</v>
      </c>
      <c r="J11" s="100">
        <v>1</v>
      </c>
      <c r="L11" s="100" t="s">
        <v>2546</v>
      </c>
      <c r="M11" s="100" t="s">
        <v>145</v>
      </c>
      <c r="N11" s="100" t="s">
        <v>2601</v>
      </c>
      <c r="O11" s="100" t="s">
        <v>2602</v>
      </c>
      <c r="P11" s="100">
        <v>50</v>
      </c>
      <c r="R11" s="100" t="str">
        <f>IFERROR(VLOOKUP(Rencontres_N3_PN_Rx[[#This Row],[Code_JA]],tab_JA[#All],3,FALSE)&amp;" "&amp;VLOOKUP(Rencontres_N3_PN_Rx[[#This Row],[Code_JA]],tab_JA[#All],4,FALSE),"")</f>
        <v/>
      </c>
      <c r="S11" s="101">
        <f>IF(Rencontres_N3_PN_Rx[[#This Row],[Code_JA]]&lt;&gt;"",COUNTIF(Rencontres_N3_PN_Rx[Code_JA],Rencontres_N3_PN_Rx[[#This Row],[Code_JA]]),0)</f>
        <v>0</v>
      </c>
      <c r="T11" s="102">
        <v>0</v>
      </c>
      <c r="U11" s="103">
        <v>0</v>
      </c>
      <c r="V11" s="102">
        <f>IF(AND(Rencontres_N3_PN_Rx[[#This Row],[JA à nommer]]="oui",Rencontres_N3_PN_Rx[[#This Row],[Code_JA]]&lt;&gt;""),Rencontres_N3_PN_Rx[[#This Row],[Peages]]+(Rencontres_N3_PN_Rx[[#This Row],[KM_JA]]*0.3)+25,0)</f>
        <v>0</v>
      </c>
      <c r="X11" s="102">
        <f>IF(Rencontres_N3_PN_Rx[[#This Row],[defiscal]]="OUI",Rencontres_N3_PN_Rx[[#This Row],[Peages]]+(Rencontres_N3_PN_Rx[[#This Row],[KM_JA]]*0.3),0)</f>
        <v>0</v>
      </c>
    </row>
    <row r="12" spans="1:28" x14ac:dyDescent="0.25">
      <c r="A12" s="101">
        <v>11</v>
      </c>
      <c r="B12" s="100" t="s">
        <v>2541</v>
      </c>
      <c r="C12" s="104">
        <v>45920</v>
      </c>
      <c r="D12" s="100" t="s">
        <v>2542</v>
      </c>
      <c r="E12" s="106" t="s">
        <v>4129</v>
      </c>
      <c r="F12" s="100" t="s">
        <v>2543</v>
      </c>
      <c r="G12" s="100" t="s">
        <v>2566</v>
      </c>
      <c r="H12" s="100" t="s">
        <v>2600</v>
      </c>
      <c r="I12" s="100">
        <v>3</v>
      </c>
      <c r="J12" s="100">
        <v>1</v>
      </c>
      <c r="L12" s="100" t="s">
        <v>2546</v>
      </c>
      <c r="M12" s="100" t="s">
        <v>173</v>
      </c>
      <c r="N12" s="100" t="s">
        <v>2615</v>
      </c>
      <c r="O12" s="100" t="s">
        <v>2616</v>
      </c>
      <c r="P12" s="100">
        <v>50</v>
      </c>
      <c r="Q12" s="100" t="s">
        <v>3325</v>
      </c>
      <c r="R12" s="100" t="str">
        <f>IFERROR(VLOOKUP(Rencontres_N3_PN_Rx[[#This Row],[Code_JA]],tab_JA[#All],3,FALSE)&amp;" "&amp;VLOOKUP(Rencontres_N3_PN_Rx[[#This Row],[Code_JA]],tab_JA[#All],4,FALSE),"")</f>
        <v>LUCAS Stephanie</v>
      </c>
      <c r="S12" s="101">
        <f>IF(Rencontres_N3_PN_Rx[[#This Row],[Code_JA]]&lt;&gt;"",COUNTIF(Rencontres_N3_PN_Rx[Code_JA],Rencontres_N3_PN_Rx[[#This Row],[Code_JA]]),0)</f>
        <v>7</v>
      </c>
      <c r="T12" s="102">
        <v>0</v>
      </c>
      <c r="U12" s="103">
        <v>12.6</v>
      </c>
      <c r="V12" s="102">
        <f>IF(AND(Rencontres_N3_PN_Rx[[#This Row],[JA à nommer]]="oui",Rencontres_N3_PN_Rx[[#This Row],[Code_JA]]&lt;&gt;""),Rencontres_N3_PN_Rx[[#This Row],[Peages]]+(Rencontres_N3_PN_Rx[[#This Row],[KM_JA]]*0.3)+25,0)</f>
        <v>28.78</v>
      </c>
      <c r="X12" s="102">
        <f>IF(Rencontres_N3_PN_Rx[[#This Row],[defiscal]]="OUI",Rencontres_N3_PN_Rx[[#This Row],[Peages]]+(Rencontres_N3_PN_Rx[[#This Row],[KM_JA]]*0.3),0)</f>
        <v>0</v>
      </c>
    </row>
    <row r="13" spans="1:28" x14ac:dyDescent="0.25">
      <c r="A13" s="101">
        <v>12</v>
      </c>
      <c r="B13" s="100" t="s">
        <v>2541</v>
      </c>
      <c r="C13" s="104">
        <v>45920</v>
      </c>
      <c r="D13" s="100" t="s">
        <v>2542</v>
      </c>
      <c r="E13" s="106" t="s">
        <v>4128</v>
      </c>
      <c r="F13" s="100" t="s">
        <v>2543</v>
      </c>
      <c r="G13" s="100" t="s">
        <v>2566</v>
      </c>
      <c r="H13" s="100" t="s">
        <v>2600</v>
      </c>
      <c r="I13" s="100">
        <v>4</v>
      </c>
      <c r="J13" s="100">
        <v>1</v>
      </c>
      <c r="L13" s="100" t="s">
        <v>2546</v>
      </c>
      <c r="M13" s="100" t="s">
        <v>98</v>
      </c>
      <c r="N13" s="100" t="s">
        <v>2627</v>
      </c>
      <c r="O13" s="100" t="s">
        <v>2628</v>
      </c>
      <c r="P13" s="100">
        <v>50</v>
      </c>
      <c r="Q13" s="100" t="s">
        <v>2004</v>
      </c>
      <c r="R13" s="100" t="str">
        <f>IFERROR(VLOOKUP(Rencontres_N3_PN_Rx[[#This Row],[Code_JA]],tab_JA[#All],3,FALSE)&amp;" "&amp;VLOOKUP(Rencontres_N3_PN_Rx[[#This Row],[Code_JA]],tab_JA[#All],4,FALSE),"")</f>
        <v>NAUDIN Laurent</v>
      </c>
      <c r="S13" s="101">
        <f>IF(Rencontres_N3_PN_Rx[[#This Row],[Code_JA]]&lt;&gt;"",COUNTIF(Rencontres_N3_PN_Rx[Code_JA],Rencontres_N3_PN_Rx[[#This Row],[Code_JA]]),0)</f>
        <v>1</v>
      </c>
      <c r="T13" s="102">
        <v>0</v>
      </c>
      <c r="U13" s="103">
        <v>0</v>
      </c>
      <c r="V13" s="102">
        <f>IF(AND(Rencontres_N3_PN_Rx[[#This Row],[JA à nommer]]="oui",Rencontres_N3_PN_Rx[[#This Row],[Code_JA]]&lt;&gt;""),Rencontres_N3_PN_Rx[[#This Row],[Peages]]+(Rencontres_N3_PN_Rx[[#This Row],[KM_JA]]*0.3)+25,0)</f>
        <v>0</v>
      </c>
      <c r="X13" s="102">
        <f>IF(Rencontres_N3_PN_Rx[[#This Row],[defiscal]]="OUI",Rencontres_N3_PN_Rx[[#This Row],[Peages]]+(Rencontres_N3_PN_Rx[[#This Row],[KM_JA]]*0.3),0)</f>
        <v>0</v>
      </c>
    </row>
    <row r="14" spans="1:28" x14ac:dyDescent="0.25">
      <c r="A14" s="101">
        <v>13</v>
      </c>
      <c r="B14" s="100" t="s">
        <v>2541</v>
      </c>
      <c r="C14" s="104">
        <v>45920</v>
      </c>
      <c r="D14" s="100" t="s">
        <v>2542</v>
      </c>
      <c r="E14" s="106" t="s">
        <v>4128</v>
      </c>
      <c r="F14" s="100" t="s">
        <v>2543</v>
      </c>
      <c r="G14" s="100" t="s">
        <v>2566</v>
      </c>
      <c r="H14" s="100" t="s">
        <v>2600</v>
      </c>
      <c r="I14" s="100">
        <v>4</v>
      </c>
      <c r="J14" s="100">
        <v>1</v>
      </c>
      <c r="L14" s="100" t="s">
        <v>2546</v>
      </c>
      <c r="M14" s="100" t="s">
        <v>2063</v>
      </c>
      <c r="N14" s="100" t="s">
        <v>2629</v>
      </c>
      <c r="O14" s="100" t="s">
        <v>2630</v>
      </c>
      <c r="P14" s="100">
        <v>50</v>
      </c>
      <c r="Q14" s="100" t="s">
        <v>2197</v>
      </c>
      <c r="R14" s="100" t="str">
        <f>IFERROR(VLOOKUP(Rencontres_N3_PN_Rx[[#This Row],[Code_JA]],tab_JA[#All],3,FALSE)&amp;" "&amp;VLOOKUP(Rencontres_N3_PN_Rx[[#This Row],[Code_JA]],tab_JA[#All],4,FALSE),"")</f>
        <v>RELET Pascal</v>
      </c>
      <c r="S14" s="101">
        <f>IF(Rencontres_N3_PN_Rx[[#This Row],[Code_JA]]&lt;&gt;"",COUNTIF(Rencontres_N3_PN_Rx[Code_JA],Rencontres_N3_PN_Rx[[#This Row],[Code_JA]]),0)</f>
        <v>9</v>
      </c>
      <c r="T14" s="102">
        <v>0</v>
      </c>
      <c r="U14" s="103">
        <v>0</v>
      </c>
      <c r="V14" s="102">
        <f>IF(AND(Rencontres_N3_PN_Rx[[#This Row],[JA à nommer]]="oui",Rencontres_N3_PN_Rx[[#This Row],[Code_JA]]&lt;&gt;""),Rencontres_N3_PN_Rx[[#This Row],[Peages]]+(Rencontres_N3_PN_Rx[[#This Row],[KM_JA]]*0.3)+25,0)</f>
        <v>0</v>
      </c>
      <c r="X14" s="102">
        <f>IF(Rencontres_N3_PN_Rx[[#This Row],[defiscal]]="OUI",Rencontres_N3_PN_Rx[[#This Row],[Peages]]+(Rencontres_N3_PN_Rx[[#This Row],[KM_JA]]*0.3),0)</f>
        <v>0</v>
      </c>
    </row>
    <row r="15" spans="1:28" x14ac:dyDescent="0.25">
      <c r="A15" s="101">
        <v>14</v>
      </c>
      <c r="B15" s="100" t="s">
        <v>2541</v>
      </c>
      <c r="C15" s="104">
        <v>45920</v>
      </c>
      <c r="D15" s="100" t="s">
        <v>2542</v>
      </c>
      <c r="E15" s="106" t="s">
        <v>4128</v>
      </c>
      <c r="F15" s="100" t="s">
        <v>2543</v>
      </c>
      <c r="G15" s="100" t="s">
        <v>2566</v>
      </c>
      <c r="H15" s="100" t="s">
        <v>2631</v>
      </c>
      <c r="I15" s="100">
        <v>2</v>
      </c>
      <c r="J15" s="100">
        <v>1</v>
      </c>
      <c r="L15" s="100" t="s">
        <v>2546</v>
      </c>
      <c r="M15" s="100" t="s">
        <v>813</v>
      </c>
      <c r="N15" s="100" t="s">
        <v>2638</v>
      </c>
      <c r="O15" s="100" t="s">
        <v>2639</v>
      </c>
      <c r="P15" s="100">
        <v>50</v>
      </c>
      <c r="Q15" s="100" t="s">
        <v>805</v>
      </c>
      <c r="R15" s="100" t="str">
        <f>IFERROR(VLOOKUP(Rencontres_N3_PN_Rx[[#This Row],[Code_JA]],tab_JA[#All],3,FALSE)&amp;" "&amp;VLOOKUP(Rencontres_N3_PN_Rx[[#This Row],[Code_JA]],tab_JA[#All],4,FALSE),"")</f>
        <v>DELEURME Stephane</v>
      </c>
      <c r="S15" s="101">
        <f>IF(Rencontres_N3_PN_Rx[[#This Row],[Code_JA]]&lt;&gt;"",COUNTIF(Rencontres_N3_PN_Rx[Code_JA],Rencontres_N3_PN_Rx[[#This Row],[Code_JA]]),0)</f>
        <v>3</v>
      </c>
      <c r="T15" s="102">
        <v>0</v>
      </c>
      <c r="U15" s="103">
        <v>0</v>
      </c>
      <c r="V15" s="102">
        <f>IF(AND(Rencontres_N3_PN_Rx[[#This Row],[JA à nommer]]="oui",Rencontres_N3_PN_Rx[[#This Row],[Code_JA]]&lt;&gt;""),Rencontres_N3_PN_Rx[[#This Row],[Peages]]+(Rencontres_N3_PN_Rx[[#This Row],[KM_JA]]*0.3)+25,0)</f>
        <v>0</v>
      </c>
      <c r="X15" s="102">
        <f>IF(Rencontres_N3_PN_Rx[[#This Row],[defiscal]]="OUI",Rencontres_N3_PN_Rx[[#This Row],[Peages]]+(Rencontres_N3_PN_Rx[[#This Row],[KM_JA]]*0.3),0)</f>
        <v>0</v>
      </c>
    </row>
    <row r="16" spans="1:28" x14ac:dyDescent="0.25">
      <c r="A16" s="101">
        <v>15</v>
      </c>
      <c r="B16" s="100" t="s">
        <v>2541</v>
      </c>
      <c r="C16" s="104">
        <v>45920</v>
      </c>
      <c r="D16" s="100" t="s">
        <v>2542</v>
      </c>
      <c r="E16" s="106" t="s">
        <v>4129</v>
      </c>
      <c r="F16" s="100" t="s">
        <v>2543</v>
      </c>
      <c r="G16" s="100" t="s">
        <v>2566</v>
      </c>
      <c r="H16" s="100" t="s">
        <v>2631</v>
      </c>
      <c r="I16" s="100">
        <v>3</v>
      </c>
      <c r="J16" s="100">
        <v>1</v>
      </c>
      <c r="L16" s="100" t="s">
        <v>2546</v>
      </c>
      <c r="M16" s="100" t="s">
        <v>1682</v>
      </c>
      <c r="N16" s="100" t="s">
        <v>2644</v>
      </c>
      <c r="O16" s="100" t="s">
        <v>2645</v>
      </c>
      <c r="P16" s="100">
        <v>50</v>
      </c>
      <c r="Q16" s="100" t="s">
        <v>2395</v>
      </c>
      <c r="R16" s="100" t="str">
        <f>IFERROR(VLOOKUP(Rencontres_N3_PN_Rx[[#This Row],[Code_JA]],tab_JA[#All],3,FALSE)&amp;" "&amp;VLOOKUP(Rencontres_N3_PN_Rx[[#This Row],[Code_JA]],tab_JA[#All],4,FALSE),"")</f>
        <v>TRAVES Annie</v>
      </c>
      <c r="S16" s="101">
        <f>IF(Rencontres_N3_PN_Rx[[#This Row],[Code_JA]]&lt;&gt;"",COUNTIF(Rencontres_N3_PN_Rx[Code_JA],Rencontres_N3_PN_Rx[[#This Row],[Code_JA]]),0)</f>
        <v>7</v>
      </c>
      <c r="T16" s="102">
        <v>0</v>
      </c>
      <c r="U16" s="103">
        <v>42</v>
      </c>
      <c r="V16" s="102">
        <f>IF(AND(Rencontres_N3_PN_Rx[[#This Row],[JA à nommer]]="oui",Rencontres_N3_PN_Rx[[#This Row],[Code_JA]]&lt;&gt;""),Rencontres_N3_PN_Rx[[#This Row],[Peages]]+(Rencontres_N3_PN_Rx[[#This Row],[KM_JA]]*0.3)+25,0)</f>
        <v>37.6</v>
      </c>
      <c r="X16" s="102">
        <f>IF(Rencontres_N3_PN_Rx[[#This Row],[defiscal]]="OUI",Rencontres_N3_PN_Rx[[#This Row],[Peages]]+(Rencontres_N3_PN_Rx[[#This Row],[KM_JA]]*0.3),0)</f>
        <v>0</v>
      </c>
    </row>
    <row r="17" spans="1:24" x14ac:dyDescent="0.25">
      <c r="A17" s="101">
        <v>16</v>
      </c>
      <c r="B17" s="100" t="s">
        <v>2541</v>
      </c>
      <c r="C17" s="104">
        <v>45920</v>
      </c>
      <c r="D17" s="100" t="s">
        <v>2542</v>
      </c>
      <c r="E17" s="106" t="s">
        <v>4128</v>
      </c>
      <c r="F17" s="100" t="s">
        <v>2543</v>
      </c>
      <c r="G17" s="100" t="s">
        <v>2566</v>
      </c>
      <c r="H17" s="100" t="s">
        <v>2631</v>
      </c>
      <c r="I17" s="100">
        <v>4</v>
      </c>
      <c r="J17" s="100">
        <v>1</v>
      </c>
      <c r="L17" s="100" t="s">
        <v>2546</v>
      </c>
      <c r="M17" s="100" t="s">
        <v>1714</v>
      </c>
      <c r="N17" s="100" t="s">
        <v>2656</v>
      </c>
      <c r="O17" s="100" t="s">
        <v>2657</v>
      </c>
      <c r="P17" s="100">
        <v>50</v>
      </c>
      <c r="Q17" s="100" t="s">
        <v>2552</v>
      </c>
      <c r="R17" s="100" t="str">
        <f>IFERROR(VLOOKUP(Rencontres_N3_PN_Rx[[#This Row],[Code_JA]],tab_JA[#All],3,FALSE)&amp;" "&amp;VLOOKUP(Rencontres_N3_PN_Rx[[#This Row],[Code_JA]],tab_JA[#All],4,FALSE),"")</f>
        <v/>
      </c>
      <c r="S17" s="101">
        <f>IF(Rencontres_N3_PN_Rx[[#This Row],[Code_JA]]&lt;&gt;"",COUNTIF(Rencontres_N3_PN_Rx[Code_JA],Rencontres_N3_PN_Rx[[#This Row],[Code_JA]]),0)</f>
        <v>0</v>
      </c>
      <c r="T17" s="102">
        <v>0</v>
      </c>
      <c r="U17" s="103">
        <v>0</v>
      </c>
      <c r="V17" s="102">
        <f>IF(AND(Rencontres_N3_PN_Rx[[#This Row],[JA à nommer]]="oui",Rencontres_N3_PN_Rx[[#This Row],[Code_JA]]&lt;&gt;""),Rencontres_N3_PN_Rx[[#This Row],[Peages]]+(Rencontres_N3_PN_Rx[[#This Row],[KM_JA]]*0.3)+25,0)</f>
        <v>0</v>
      </c>
      <c r="X17" s="102">
        <f>IF(Rencontres_N3_PN_Rx[[#This Row],[defiscal]]="OUI",Rencontres_N3_PN_Rx[[#This Row],[Peages]]+(Rencontres_N3_PN_Rx[[#This Row],[KM_JA]]*0.3),0)</f>
        <v>0</v>
      </c>
    </row>
    <row r="18" spans="1:24" x14ac:dyDescent="0.25">
      <c r="A18" s="101">
        <v>17</v>
      </c>
      <c r="B18" s="100" t="s">
        <v>2658</v>
      </c>
      <c r="C18" s="104">
        <v>45921</v>
      </c>
      <c r="D18" s="100" t="s">
        <v>2659</v>
      </c>
      <c r="E18" s="106" t="s">
        <v>4129</v>
      </c>
      <c r="F18" s="100" t="s">
        <v>2543</v>
      </c>
      <c r="G18" s="100" t="s">
        <v>2566</v>
      </c>
      <c r="H18" s="100" t="s">
        <v>2557</v>
      </c>
      <c r="I18" s="100">
        <v>2</v>
      </c>
      <c r="J18" s="100">
        <v>1</v>
      </c>
      <c r="L18" s="100" t="s">
        <v>2546</v>
      </c>
      <c r="M18" s="100" t="s">
        <v>734</v>
      </c>
      <c r="N18" s="100" t="s">
        <v>2660</v>
      </c>
      <c r="O18" s="100" t="s">
        <v>2661</v>
      </c>
      <c r="P18" s="100">
        <v>50</v>
      </c>
      <c r="Q18" s="100" t="s">
        <v>2254</v>
      </c>
      <c r="R18" s="100" t="str">
        <f>IFERROR(VLOOKUP(Rencontres_N3_PN_Rx[[#This Row],[Code_JA]],tab_JA[#All],3,FALSE)&amp;" "&amp;VLOOKUP(Rencontres_N3_PN_Rx[[#This Row],[Code_JA]],tab_JA[#All],4,FALSE),"")</f>
        <v>ROUAULT Pierrick</v>
      </c>
      <c r="S18" s="101">
        <f>IF(Rencontres_N3_PN_Rx[[#This Row],[Code_JA]]&lt;&gt;"",COUNTIF(Rencontres_N3_PN_Rx[Code_JA],Rencontres_N3_PN_Rx[[#This Row],[Code_JA]]),0)</f>
        <v>4</v>
      </c>
      <c r="T18" s="102">
        <v>0</v>
      </c>
      <c r="U18" s="103">
        <v>20</v>
      </c>
      <c r="V18" s="102">
        <f>IF(AND(Rencontres_N3_PN_Rx[[#This Row],[JA à nommer]]="oui",Rencontres_N3_PN_Rx[[#This Row],[Code_JA]]&lt;&gt;""),Rencontres_N3_PN_Rx[[#This Row],[Peages]]+(Rencontres_N3_PN_Rx[[#This Row],[KM_JA]]*0.3)+25,0)</f>
        <v>31</v>
      </c>
      <c r="X18" s="102">
        <f>IF(Rencontres_N3_PN_Rx[[#This Row],[defiscal]]="OUI",Rencontres_N3_PN_Rx[[#This Row],[Peages]]+(Rencontres_N3_PN_Rx[[#This Row],[KM_JA]]*0.3),0)</f>
        <v>0</v>
      </c>
    </row>
    <row r="19" spans="1:24" x14ac:dyDescent="0.25">
      <c r="A19" s="101">
        <v>18</v>
      </c>
      <c r="B19" s="100" t="s">
        <v>2658</v>
      </c>
      <c r="C19" s="104">
        <v>45921</v>
      </c>
      <c r="D19" s="100" t="s">
        <v>2659</v>
      </c>
      <c r="E19" s="106" t="s">
        <v>4129</v>
      </c>
      <c r="F19" s="100" t="s">
        <v>2543</v>
      </c>
      <c r="G19" s="100" t="s">
        <v>2566</v>
      </c>
      <c r="H19" s="100" t="s">
        <v>2581</v>
      </c>
      <c r="I19" s="100">
        <v>3</v>
      </c>
      <c r="J19" s="100">
        <v>1</v>
      </c>
      <c r="L19" s="100" t="s">
        <v>2546</v>
      </c>
      <c r="M19" s="100" t="s">
        <v>478</v>
      </c>
      <c r="N19" s="100" t="s">
        <v>2666</v>
      </c>
      <c r="O19" s="100" t="s">
        <v>2667</v>
      </c>
      <c r="P19" s="100">
        <v>50</v>
      </c>
      <c r="R19" s="100" t="str">
        <f>IFERROR(VLOOKUP(Rencontres_N3_PN_Rx[[#This Row],[Code_JA]],tab_JA[#All],3,FALSE)&amp;" "&amp;VLOOKUP(Rencontres_N3_PN_Rx[[#This Row],[Code_JA]],tab_JA[#All],4,FALSE),"")</f>
        <v/>
      </c>
      <c r="S19" s="101">
        <f>IF(Rencontres_N3_PN_Rx[[#This Row],[Code_JA]]&lt;&gt;"",COUNTIF(Rencontres_N3_PN_Rx[Code_JA],Rencontres_N3_PN_Rx[[#This Row],[Code_JA]]),0)</f>
        <v>0</v>
      </c>
      <c r="T19" s="102">
        <v>0</v>
      </c>
      <c r="U19" s="103">
        <v>0</v>
      </c>
      <c r="V19" s="102">
        <f>IF(AND(Rencontres_N3_PN_Rx[[#This Row],[JA à nommer]]="oui",Rencontres_N3_PN_Rx[[#This Row],[Code_JA]]&lt;&gt;""),Rencontres_N3_PN_Rx[[#This Row],[Peages]]+(Rencontres_N3_PN_Rx[[#This Row],[KM_JA]]*0.3)+25,0)</f>
        <v>0</v>
      </c>
      <c r="X19" s="102">
        <f>IF(Rencontres_N3_PN_Rx[[#This Row],[defiscal]]="OUI",Rencontres_N3_PN_Rx[[#This Row],[Peages]]+(Rencontres_N3_PN_Rx[[#This Row],[KM_JA]]*0.3),0)</f>
        <v>0</v>
      </c>
    </row>
    <row r="20" spans="1:24" x14ac:dyDescent="0.25">
      <c r="A20" s="101">
        <v>19</v>
      </c>
      <c r="B20" s="100" t="s">
        <v>2658</v>
      </c>
      <c r="C20" s="104">
        <v>45921</v>
      </c>
      <c r="D20" s="100" t="s">
        <v>2659</v>
      </c>
      <c r="E20" s="106" t="s">
        <v>4128</v>
      </c>
      <c r="F20" s="100" t="s">
        <v>2543</v>
      </c>
      <c r="G20" s="100" t="s">
        <v>2566</v>
      </c>
      <c r="H20" s="100" t="s">
        <v>2631</v>
      </c>
      <c r="I20" s="100">
        <v>1</v>
      </c>
      <c r="J20" s="100">
        <v>1</v>
      </c>
      <c r="L20" s="100" t="s">
        <v>2546</v>
      </c>
      <c r="M20" s="100" t="s">
        <v>478</v>
      </c>
      <c r="N20" s="100" t="s">
        <v>2670</v>
      </c>
      <c r="O20" s="100" t="s">
        <v>2671</v>
      </c>
      <c r="P20" s="100">
        <v>50</v>
      </c>
      <c r="Q20" s="100" t="s">
        <v>2358</v>
      </c>
      <c r="R20" s="100" t="str">
        <f>IFERROR(VLOOKUP(Rencontres_N3_PN_Rx[[#This Row],[Code_JA]],tab_JA[#All],3,FALSE)&amp;" "&amp;VLOOKUP(Rencontres_N3_PN_Rx[[#This Row],[Code_JA]],tab_JA[#All],4,FALSE),"")</f>
        <v>TEURTERIE Laurence</v>
      </c>
      <c r="S20" s="101">
        <f>IF(Rencontres_N3_PN_Rx[[#This Row],[Code_JA]]&lt;&gt;"",COUNTIF(Rencontres_N3_PN_Rx[Code_JA],Rencontres_N3_PN_Rx[[#This Row],[Code_JA]]),0)</f>
        <v>4</v>
      </c>
      <c r="T20" s="102">
        <v>0</v>
      </c>
      <c r="U20" s="103">
        <v>0</v>
      </c>
      <c r="V20" s="102">
        <f>IF(AND(Rencontres_N3_PN_Rx[[#This Row],[JA à nommer]]="oui",Rencontres_N3_PN_Rx[[#This Row],[Code_JA]]&lt;&gt;""),Rencontres_N3_PN_Rx[[#This Row],[Peages]]+(Rencontres_N3_PN_Rx[[#This Row],[KM_JA]]*0.3)+25,0)</f>
        <v>0</v>
      </c>
      <c r="X20" s="102">
        <f>IF(Rencontres_N3_PN_Rx[[#This Row],[defiscal]]="OUI",Rencontres_N3_PN_Rx[[#This Row],[Peages]]+(Rencontres_N3_PN_Rx[[#This Row],[KM_JA]]*0.3),0)</f>
        <v>0</v>
      </c>
    </row>
    <row r="21" spans="1:24" x14ac:dyDescent="0.25">
      <c r="A21" s="101">
        <v>20</v>
      </c>
      <c r="B21" s="100" t="s">
        <v>2658</v>
      </c>
      <c r="C21" s="104">
        <v>45921</v>
      </c>
      <c r="D21" s="100" t="s">
        <v>2659</v>
      </c>
      <c r="E21" s="106" t="s">
        <v>4128</v>
      </c>
      <c r="F21" s="100" t="s">
        <v>2543</v>
      </c>
      <c r="G21" s="100" t="s">
        <v>2566</v>
      </c>
      <c r="H21" s="100" t="s">
        <v>2631</v>
      </c>
      <c r="I21" s="100">
        <v>3</v>
      </c>
      <c r="J21" s="100">
        <v>1</v>
      </c>
      <c r="L21" s="100" t="s">
        <v>2546</v>
      </c>
      <c r="M21" s="100" t="s">
        <v>734</v>
      </c>
      <c r="N21" s="100" t="s">
        <v>2674</v>
      </c>
      <c r="O21" s="100" t="s">
        <v>2675</v>
      </c>
      <c r="P21" s="100">
        <v>50</v>
      </c>
      <c r="Q21" s="100" t="s">
        <v>2254</v>
      </c>
      <c r="R21" s="100" t="str">
        <f>IFERROR(VLOOKUP(Rencontres_N3_PN_Rx[[#This Row],[Code_JA]],tab_JA[#All],3,FALSE)&amp;" "&amp;VLOOKUP(Rencontres_N3_PN_Rx[[#This Row],[Code_JA]],tab_JA[#All],4,FALSE),"")</f>
        <v>ROUAULT Pierrick</v>
      </c>
      <c r="S21" s="101">
        <f>IF(Rencontres_N3_PN_Rx[[#This Row],[Code_JA]]&lt;&gt;"",COUNTIF(Rencontres_N3_PN_Rx[Code_JA],Rencontres_N3_PN_Rx[[#This Row],[Code_JA]]),0)</f>
        <v>4</v>
      </c>
      <c r="T21" s="102">
        <v>0</v>
      </c>
      <c r="U21" s="103">
        <v>0</v>
      </c>
      <c r="V21" s="102">
        <f>IF(AND(Rencontres_N3_PN_Rx[[#This Row],[JA à nommer]]="oui",Rencontres_N3_PN_Rx[[#This Row],[Code_JA]]&lt;&gt;""),Rencontres_N3_PN_Rx[[#This Row],[Peages]]+(Rencontres_N3_PN_Rx[[#This Row],[KM_JA]]*0.3)+25,0)</f>
        <v>0</v>
      </c>
      <c r="X21" s="102">
        <f>IF(Rencontres_N3_PN_Rx[[#This Row],[defiscal]]="OUI",Rencontres_N3_PN_Rx[[#This Row],[Peages]]+(Rencontres_N3_PN_Rx[[#This Row],[KM_JA]]*0.3),0)</f>
        <v>0</v>
      </c>
    </row>
    <row r="22" spans="1:24" x14ac:dyDescent="0.25">
      <c r="A22" s="101">
        <v>21</v>
      </c>
      <c r="B22" s="100" t="s">
        <v>2541</v>
      </c>
      <c r="C22" s="104">
        <v>45927</v>
      </c>
      <c r="D22" s="100" t="s">
        <v>2542</v>
      </c>
      <c r="E22" s="106" t="s">
        <v>4129</v>
      </c>
      <c r="F22" s="100" t="s">
        <v>2543</v>
      </c>
      <c r="G22" s="100" t="s">
        <v>2554</v>
      </c>
      <c r="H22" s="100" t="s">
        <v>2555</v>
      </c>
      <c r="I22" s="100">
        <v>2</v>
      </c>
      <c r="J22" s="100">
        <v>1</v>
      </c>
      <c r="L22" s="100" t="s">
        <v>2718</v>
      </c>
      <c r="M22" s="100" t="s">
        <v>189</v>
      </c>
      <c r="N22" s="100" t="s">
        <v>2565</v>
      </c>
      <c r="O22" s="100" t="s">
        <v>2563</v>
      </c>
      <c r="P22" s="100">
        <v>50</v>
      </c>
      <c r="Q22" s="100" t="s">
        <v>90</v>
      </c>
      <c r="R22" s="100" t="str">
        <f>IFERROR(VLOOKUP(Rencontres_N3_PN_Rx[[#This Row],[Code_JA]],tab_JA[#All],3,FALSE)&amp;" "&amp;VLOOKUP(Rencontres_N3_PN_Rx[[#This Row],[Code_JA]],tab_JA[#All],4,FALSE),"")</f>
        <v>AZE Didier</v>
      </c>
      <c r="S22" s="101">
        <f>IF(Rencontres_N3_PN_Rx[[#This Row],[Code_JA]]&lt;&gt;"",COUNTIF(Rencontres_N3_PN_Rx[Code_JA],Rencontres_N3_PN_Rx[[#This Row],[Code_JA]]),0)</f>
        <v>4</v>
      </c>
      <c r="T22" s="102">
        <v>0</v>
      </c>
      <c r="U22" s="103">
        <v>60</v>
      </c>
      <c r="V22" s="102">
        <f>IF(AND(Rencontres_N3_PN_Rx[[#This Row],[JA à nommer]]="oui",Rencontres_N3_PN_Rx[[#This Row],[Code_JA]]&lt;&gt;""),Rencontres_N3_PN_Rx[[#This Row],[Peages]]+(Rencontres_N3_PN_Rx[[#This Row],[KM_JA]]*0.3)+25,0)</f>
        <v>43</v>
      </c>
      <c r="X22" s="102">
        <f>IF(Rencontres_N3_PN_Rx[[#This Row],[defiscal]]="OUI",Rencontres_N3_PN_Rx[[#This Row],[Peages]]+(Rencontres_N3_PN_Rx[[#This Row],[KM_JA]]*0.3),0)</f>
        <v>0</v>
      </c>
    </row>
    <row r="23" spans="1:24" x14ac:dyDescent="0.25">
      <c r="A23" s="101">
        <v>22</v>
      </c>
      <c r="B23" s="100" t="s">
        <v>2541</v>
      </c>
      <c r="C23" s="104">
        <v>45927</v>
      </c>
      <c r="D23" s="100" t="s">
        <v>2542</v>
      </c>
      <c r="E23" s="106" t="s">
        <v>4129</v>
      </c>
      <c r="F23" s="100" t="s">
        <v>2543</v>
      </c>
      <c r="G23" s="100" t="s">
        <v>2566</v>
      </c>
      <c r="H23" s="100" t="s">
        <v>2557</v>
      </c>
      <c r="I23" s="100">
        <v>1</v>
      </c>
      <c r="J23" s="100">
        <v>1</v>
      </c>
      <c r="L23" s="100" t="s">
        <v>2718</v>
      </c>
      <c r="M23" s="100" t="s">
        <v>98</v>
      </c>
      <c r="N23" s="100" t="s">
        <v>2570</v>
      </c>
      <c r="O23" s="100" t="s">
        <v>2567</v>
      </c>
      <c r="P23" s="100">
        <v>50</v>
      </c>
      <c r="Q23" s="100" t="s">
        <v>139</v>
      </c>
      <c r="R23" s="100" t="str">
        <f>IFERROR(VLOOKUP(Rencontres_N3_PN_Rx[[#This Row],[Code_JA]],tab_JA[#All],3,FALSE)&amp;" "&amp;VLOOKUP(Rencontres_N3_PN_Rx[[#This Row],[Code_JA]],tab_JA[#All],4,FALSE),"")</f>
        <v>BASTIEN Romain</v>
      </c>
      <c r="S23" s="101">
        <f>IF(Rencontres_N3_PN_Rx[[#This Row],[Code_JA]]&lt;&gt;"",COUNTIF(Rencontres_N3_PN_Rx[Code_JA],Rencontres_N3_PN_Rx[[#This Row],[Code_JA]]),0)</f>
        <v>5</v>
      </c>
      <c r="T23" s="102">
        <v>0</v>
      </c>
      <c r="U23" s="103">
        <v>15</v>
      </c>
      <c r="V23" s="102">
        <f>IF(AND(Rencontres_N3_PN_Rx[[#This Row],[JA à nommer]]="oui",Rencontres_N3_PN_Rx[[#This Row],[Code_JA]]&lt;&gt;""),Rencontres_N3_PN_Rx[[#This Row],[Peages]]+(Rencontres_N3_PN_Rx[[#This Row],[KM_JA]]*0.3)+25,0)</f>
        <v>29.5</v>
      </c>
      <c r="X23" s="102">
        <f>IF(Rencontres_N3_PN_Rx[[#This Row],[defiscal]]="OUI",Rencontres_N3_PN_Rx[[#This Row],[Peages]]+(Rencontres_N3_PN_Rx[[#This Row],[KM_JA]]*0.3),0)</f>
        <v>0</v>
      </c>
    </row>
    <row r="24" spans="1:24" x14ac:dyDescent="0.25">
      <c r="A24" s="101">
        <v>23</v>
      </c>
      <c r="B24" s="100" t="s">
        <v>2541</v>
      </c>
      <c r="C24" s="104">
        <v>45927</v>
      </c>
      <c r="D24" s="100" t="s">
        <v>2542</v>
      </c>
      <c r="E24" s="106" t="s">
        <v>4129</v>
      </c>
      <c r="F24" s="100" t="s">
        <v>2543</v>
      </c>
      <c r="G24" s="100" t="s">
        <v>2566</v>
      </c>
      <c r="H24" s="100" t="s">
        <v>2557</v>
      </c>
      <c r="I24" s="100">
        <v>1</v>
      </c>
      <c r="J24" s="100">
        <v>1</v>
      </c>
      <c r="L24" s="100" t="s">
        <v>2718</v>
      </c>
      <c r="M24" s="100" t="s">
        <v>189</v>
      </c>
      <c r="N24" s="100" t="s">
        <v>2574</v>
      </c>
      <c r="O24" s="100" t="s">
        <v>2571</v>
      </c>
      <c r="P24" s="100">
        <v>50</v>
      </c>
      <c r="Q24" s="100" t="s">
        <v>1698</v>
      </c>
      <c r="R24" s="100" t="str">
        <f>IFERROR(VLOOKUP(Rencontres_N3_PN_Rx[[#This Row],[Code_JA]],tab_JA[#All],3,FALSE)&amp;" "&amp;VLOOKUP(Rencontres_N3_PN_Rx[[#This Row],[Code_JA]],tab_JA[#All],4,FALSE),"")</f>
        <v>LEMONNIER Marie-Agnes</v>
      </c>
      <c r="S24" s="101">
        <f>IF(Rencontres_N3_PN_Rx[[#This Row],[Code_JA]]&lt;&gt;"",COUNTIF(Rencontres_N3_PN_Rx[Code_JA],Rencontres_N3_PN_Rx[[#This Row],[Code_JA]]),0)</f>
        <v>2</v>
      </c>
      <c r="T24" s="102">
        <v>0</v>
      </c>
      <c r="U24" s="103">
        <v>118</v>
      </c>
      <c r="V24" s="102">
        <f>IF(AND(Rencontres_N3_PN_Rx[[#This Row],[JA à nommer]]="oui",Rencontres_N3_PN_Rx[[#This Row],[Code_JA]]&lt;&gt;""),Rencontres_N3_PN_Rx[[#This Row],[Peages]]+(Rencontres_N3_PN_Rx[[#This Row],[KM_JA]]*0.3)+25,0)</f>
        <v>60.4</v>
      </c>
      <c r="X24" s="102">
        <f>IF(Rencontres_N3_PN_Rx[[#This Row],[defiscal]]="OUI",Rencontres_N3_PN_Rx[[#This Row],[Peages]]+(Rencontres_N3_PN_Rx[[#This Row],[KM_JA]]*0.3),0)</f>
        <v>0</v>
      </c>
    </row>
    <row r="25" spans="1:24" x14ac:dyDescent="0.25">
      <c r="A25" s="101">
        <v>24</v>
      </c>
      <c r="B25" s="100" t="s">
        <v>2541</v>
      </c>
      <c r="C25" s="104">
        <v>45927</v>
      </c>
      <c r="D25" s="100" t="s">
        <v>2542</v>
      </c>
      <c r="E25" s="106" t="s">
        <v>4129</v>
      </c>
      <c r="F25" s="100" t="s">
        <v>2543</v>
      </c>
      <c r="G25" s="100" t="s">
        <v>2566</v>
      </c>
      <c r="H25" s="100" t="s">
        <v>2557</v>
      </c>
      <c r="I25" s="100">
        <v>1</v>
      </c>
      <c r="J25" s="100">
        <v>1</v>
      </c>
      <c r="L25" s="100" t="s">
        <v>2718</v>
      </c>
      <c r="M25" s="100" t="s">
        <v>1179</v>
      </c>
      <c r="N25" s="100" t="s">
        <v>2568</v>
      </c>
      <c r="O25" s="100" t="s">
        <v>2573</v>
      </c>
      <c r="P25" s="100">
        <v>50</v>
      </c>
      <c r="Q25" s="100" t="s">
        <v>1288</v>
      </c>
      <c r="R25" s="100" t="str">
        <f>IFERROR(VLOOKUP(Rencontres_N3_PN_Rx[[#This Row],[Code_JA]],tab_JA[#All],3,FALSE)&amp;" "&amp;VLOOKUP(Rencontres_N3_PN_Rx[[#This Row],[Code_JA]],tab_JA[#All],4,FALSE),"")</f>
        <v>HUE Emile</v>
      </c>
      <c r="S25" s="101">
        <f>IF(Rencontres_N3_PN_Rx[[#This Row],[Code_JA]]&lt;&gt;"",COUNTIF(Rencontres_N3_PN_Rx[Code_JA],Rencontres_N3_PN_Rx[[#This Row],[Code_JA]]),0)</f>
        <v>1</v>
      </c>
      <c r="T25" s="102">
        <v>0</v>
      </c>
      <c r="U25" s="103">
        <v>0</v>
      </c>
      <c r="V25" s="102">
        <f>IF(AND(Rencontres_N3_PN_Rx[[#This Row],[JA à nommer]]="oui",Rencontres_N3_PN_Rx[[#This Row],[Code_JA]]&lt;&gt;""),Rencontres_N3_PN_Rx[[#This Row],[Peages]]+(Rencontres_N3_PN_Rx[[#This Row],[KM_JA]]*0.3)+25,0)</f>
        <v>25</v>
      </c>
      <c r="X25" s="102">
        <f>IF(Rencontres_N3_PN_Rx[[#This Row],[defiscal]]="OUI",Rencontres_N3_PN_Rx[[#This Row],[Peages]]+(Rencontres_N3_PN_Rx[[#This Row],[KM_JA]]*0.3),0)</f>
        <v>0</v>
      </c>
    </row>
    <row r="26" spans="1:24" x14ac:dyDescent="0.25">
      <c r="A26" s="101">
        <v>25</v>
      </c>
      <c r="B26" s="100" t="s">
        <v>2541</v>
      </c>
      <c r="C26" s="104">
        <v>45927</v>
      </c>
      <c r="D26" s="100" t="s">
        <v>2542</v>
      </c>
      <c r="E26" s="106" t="s">
        <v>4129</v>
      </c>
      <c r="F26" s="100" t="s">
        <v>2543</v>
      </c>
      <c r="G26" s="100" t="s">
        <v>2566</v>
      </c>
      <c r="H26" s="100" t="s">
        <v>2557</v>
      </c>
      <c r="I26" s="100">
        <v>2</v>
      </c>
      <c r="J26" s="100">
        <v>1</v>
      </c>
      <c r="L26" s="100" t="s">
        <v>2718</v>
      </c>
      <c r="M26" s="100" t="s">
        <v>1468</v>
      </c>
      <c r="N26" s="100" t="s">
        <v>2580</v>
      </c>
      <c r="O26" s="100" t="s">
        <v>2660</v>
      </c>
      <c r="P26" s="100">
        <v>50</v>
      </c>
      <c r="Q26" s="100" t="s">
        <v>307</v>
      </c>
      <c r="R26" s="100" t="str">
        <f>IFERROR(VLOOKUP(Rencontres_N3_PN_Rx[[#This Row],[Code_JA]],tab_JA[#All],3,FALSE)&amp;" "&amp;VLOOKUP(Rencontres_N3_PN_Rx[[#This Row],[Code_JA]],tab_JA[#All],4,FALSE),"")</f>
        <v>BOUIN Pascal</v>
      </c>
      <c r="S26" s="101">
        <f>IF(Rencontres_N3_PN_Rx[[#This Row],[Code_JA]]&lt;&gt;"",COUNTIF(Rencontres_N3_PN_Rx[Code_JA],Rencontres_N3_PN_Rx[[#This Row],[Code_JA]]),0)</f>
        <v>3</v>
      </c>
      <c r="T26" s="102">
        <v>0</v>
      </c>
      <c r="U26" s="103">
        <v>18</v>
      </c>
      <c r="V26" s="102">
        <f>IF(AND(Rencontres_N3_PN_Rx[[#This Row],[JA à nommer]]="oui",Rencontres_N3_PN_Rx[[#This Row],[Code_JA]]&lt;&gt;""),Rencontres_N3_PN_Rx[[#This Row],[Peages]]+(Rencontres_N3_PN_Rx[[#This Row],[KM_JA]]*0.3)+25,0)</f>
        <v>30.4</v>
      </c>
      <c r="X26" s="102">
        <f>IF(Rencontres_N3_PN_Rx[[#This Row],[defiscal]]="OUI",Rencontres_N3_PN_Rx[[#This Row],[Peages]]+(Rencontres_N3_PN_Rx[[#This Row],[KM_JA]]*0.3),0)</f>
        <v>0</v>
      </c>
    </row>
    <row r="27" spans="1:24" x14ac:dyDescent="0.25">
      <c r="A27" s="101">
        <v>26</v>
      </c>
      <c r="B27" s="100" t="s">
        <v>2541</v>
      </c>
      <c r="C27" s="104">
        <v>45927</v>
      </c>
      <c r="D27" s="100" t="s">
        <v>2542</v>
      </c>
      <c r="E27" s="106" t="s">
        <v>4129</v>
      </c>
      <c r="F27" s="100" t="s">
        <v>2543</v>
      </c>
      <c r="G27" s="100" t="s">
        <v>2566</v>
      </c>
      <c r="H27" s="100" t="s">
        <v>2581</v>
      </c>
      <c r="I27" s="100">
        <v>1</v>
      </c>
      <c r="J27" s="100">
        <v>1</v>
      </c>
      <c r="L27" s="100" t="s">
        <v>2718</v>
      </c>
      <c r="M27" s="100" t="s">
        <v>813</v>
      </c>
      <c r="N27" s="100" t="s">
        <v>2587</v>
      </c>
      <c r="O27" s="100" t="s">
        <v>2584</v>
      </c>
      <c r="P27" s="100">
        <v>50</v>
      </c>
      <c r="Q27" s="100" t="s">
        <v>1150</v>
      </c>
      <c r="R27" s="100" t="str">
        <f>IFERROR(VLOOKUP(Rencontres_N3_PN_Rx[[#This Row],[Code_JA]],tab_JA[#All],3,FALSE)&amp;" "&amp;VLOOKUP(Rencontres_N3_PN_Rx[[#This Row],[Code_JA]],tab_JA[#All],4,FALSE),"")</f>
        <v>GOUTTE Dominique</v>
      </c>
      <c r="S27" s="101">
        <f>IF(Rencontres_N3_PN_Rx[[#This Row],[Code_JA]]&lt;&gt;"",COUNTIF(Rencontres_N3_PN_Rx[Code_JA],Rencontres_N3_PN_Rx[[#This Row],[Code_JA]]),0)</f>
        <v>12</v>
      </c>
      <c r="T27" s="102">
        <v>0</v>
      </c>
      <c r="U27" s="103">
        <v>130</v>
      </c>
      <c r="V27" s="102">
        <f>IF(AND(Rencontres_N3_PN_Rx[[#This Row],[JA à nommer]]="oui",Rencontres_N3_PN_Rx[[#This Row],[Code_JA]]&lt;&gt;""),Rencontres_N3_PN_Rx[[#This Row],[Peages]]+(Rencontres_N3_PN_Rx[[#This Row],[KM_JA]]*0.3)+25,0)</f>
        <v>64</v>
      </c>
      <c r="W27" s="100" t="s">
        <v>4129</v>
      </c>
      <c r="X27" s="102">
        <f>IF(Rencontres_N3_PN_Rx[[#This Row],[defiscal]]="OUI",Rencontres_N3_PN_Rx[[#This Row],[Peages]]+(Rencontres_N3_PN_Rx[[#This Row],[KM_JA]]*0.3),0)</f>
        <v>39</v>
      </c>
    </row>
    <row r="28" spans="1:24" x14ac:dyDescent="0.25">
      <c r="A28" s="101">
        <v>27</v>
      </c>
      <c r="B28" s="100" t="s">
        <v>2541</v>
      </c>
      <c r="C28" s="104">
        <v>45927</v>
      </c>
      <c r="D28" s="100" t="s">
        <v>2542</v>
      </c>
      <c r="E28" s="106" t="s">
        <v>4129</v>
      </c>
      <c r="F28" s="100" t="s">
        <v>2543</v>
      </c>
      <c r="G28" s="100" t="s">
        <v>2566</v>
      </c>
      <c r="H28" s="100" t="s">
        <v>2581</v>
      </c>
      <c r="I28" s="100">
        <v>2</v>
      </c>
      <c r="J28" s="100">
        <v>1</v>
      </c>
      <c r="L28" s="100" t="s">
        <v>2718</v>
      </c>
      <c r="M28" s="100" t="s">
        <v>854</v>
      </c>
      <c r="N28" s="100" t="s">
        <v>2589</v>
      </c>
      <c r="O28" s="100" t="s">
        <v>2592</v>
      </c>
      <c r="P28" s="100">
        <v>50</v>
      </c>
      <c r="Q28" s="100" t="s">
        <v>37</v>
      </c>
      <c r="R28" s="100" t="str">
        <f>IFERROR(VLOOKUP(Rencontres_N3_PN_Rx[[#This Row],[Code_JA]],tab_JA[#All],3,FALSE)&amp;" "&amp;VLOOKUP(Rencontres_N3_PN_Rx[[#This Row],[Code_JA]],tab_JA[#All],4,FALSE),"")</f>
        <v>ADDE Jean-Paul</v>
      </c>
      <c r="S28" s="101">
        <f>IF(Rencontres_N3_PN_Rx[[#This Row],[Code_JA]]&lt;&gt;"",COUNTIF(Rencontres_N3_PN_Rx[Code_JA],Rencontres_N3_PN_Rx[[#This Row],[Code_JA]]),0)</f>
        <v>3</v>
      </c>
      <c r="T28" s="102">
        <v>0</v>
      </c>
      <c r="U28" s="103">
        <v>53</v>
      </c>
      <c r="V28" s="102">
        <f>IF(AND(Rencontres_N3_PN_Rx[[#This Row],[JA à nommer]]="oui",Rencontres_N3_PN_Rx[[#This Row],[Code_JA]]&lt;&gt;""),Rencontres_N3_PN_Rx[[#This Row],[Peages]]+(Rencontres_N3_PN_Rx[[#This Row],[KM_JA]]*0.3)+25,0)</f>
        <v>40.9</v>
      </c>
      <c r="X28" s="102">
        <f>IF(Rencontres_N3_PN_Rx[[#This Row],[defiscal]]="OUI",Rencontres_N3_PN_Rx[[#This Row],[Peages]]+(Rencontres_N3_PN_Rx[[#This Row],[KM_JA]]*0.3),0)</f>
        <v>0</v>
      </c>
    </row>
    <row r="29" spans="1:24" x14ac:dyDescent="0.25">
      <c r="A29" s="101">
        <v>28</v>
      </c>
      <c r="B29" s="100" t="s">
        <v>2541</v>
      </c>
      <c r="C29" s="104">
        <v>45927</v>
      </c>
      <c r="D29" s="100" t="s">
        <v>2542</v>
      </c>
      <c r="E29" s="106" t="s">
        <v>4129</v>
      </c>
      <c r="F29" s="100" t="s">
        <v>2543</v>
      </c>
      <c r="G29" s="100" t="s">
        <v>2566</v>
      </c>
      <c r="H29" s="100" t="s">
        <v>2581</v>
      </c>
      <c r="I29" s="100">
        <v>3</v>
      </c>
      <c r="J29" s="100">
        <v>1</v>
      </c>
      <c r="L29" s="100" t="s">
        <v>2718</v>
      </c>
      <c r="M29" s="100" t="s">
        <v>189</v>
      </c>
      <c r="N29" s="100" t="s">
        <v>2599</v>
      </c>
      <c r="O29" s="100" t="s">
        <v>2596</v>
      </c>
      <c r="P29" s="100">
        <v>50</v>
      </c>
      <c r="Q29" s="100" t="s">
        <v>90</v>
      </c>
      <c r="R29" s="100" t="str">
        <f>IFERROR(VLOOKUP(Rencontres_N3_PN_Rx[[#This Row],[Code_JA]],tab_JA[#All],3,FALSE)&amp;" "&amp;VLOOKUP(Rencontres_N3_PN_Rx[[#This Row],[Code_JA]],tab_JA[#All],4,FALSE),"")</f>
        <v>AZE Didier</v>
      </c>
      <c r="S29" s="101">
        <f>IF(Rencontres_N3_PN_Rx[[#This Row],[Code_JA]]&lt;&gt;"",COUNTIF(Rencontres_N3_PN_Rx[Code_JA],Rencontres_N3_PN_Rx[[#This Row],[Code_JA]]),0)</f>
        <v>4</v>
      </c>
      <c r="T29" s="102">
        <v>0</v>
      </c>
      <c r="U29" s="103">
        <v>60</v>
      </c>
      <c r="V29" s="102">
        <f>IF(AND(Rencontres_N3_PN_Rx[[#This Row],[JA à nommer]]="oui",Rencontres_N3_PN_Rx[[#This Row],[Code_JA]]&lt;&gt;""),Rencontres_N3_PN_Rx[[#This Row],[Peages]]+(Rencontres_N3_PN_Rx[[#This Row],[KM_JA]]*0.3)+25,0)</f>
        <v>43</v>
      </c>
      <c r="X29" s="102">
        <f>IF(Rencontres_N3_PN_Rx[[#This Row],[defiscal]]="OUI",Rencontres_N3_PN_Rx[[#This Row],[Peages]]+(Rencontres_N3_PN_Rx[[#This Row],[KM_JA]]*0.3),0)</f>
        <v>0</v>
      </c>
    </row>
    <row r="30" spans="1:24" x14ac:dyDescent="0.25">
      <c r="A30" s="101">
        <v>29</v>
      </c>
      <c r="B30" s="100" t="s">
        <v>2541</v>
      </c>
      <c r="C30" s="104">
        <v>45927</v>
      </c>
      <c r="D30" s="100" t="s">
        <v>2542</v>
      </c>
      <c r="E30" s="106" t="s">
        <v>4129</v>
      </c>
      <c r="F30" s="100" t="s">
        <v>2543</v>
      </c>
      <c r="G30" s="100" t="s">
        <v>2566</v>
      </c>
      <c r="H30" s="100" t="s">
        <v>2600</v>
      </c>
      <c r="I30" s="100">
        <v>1</v>
      </c>
      <c r="J30" s="100">
        <v>1</v>
      </c>
      <c r="L30" s="100" t="s">
        <v>2718</v>
      </c>
      <c r="M30" s="100" t="s">
        <v>2495</v>
      </c>
      <c r="N30" s="100" t="s">
        <v>2669</v>
      </c>
      <c r="O30" s="100" t="s">
        <v>2603</v>
      </c>
      <c r="P30" s="100">
        <v>50</v>
      </c>
      <c r="Q30" s="100" t="s">
        <v>2358</v>
      </c>
      <c r="R30" s="100" t="str">
        <f>IFERROR(VLOOKUP(Rencontres_N3_PN_Rx[[#This Row],[Code_JA]],tab_JA[#All],3,FALSE)&amp;" "&amp;VLOOKUP(Rencontres_N3_PN_Rx[[#This Row],[Code_JA]],tab_JA[#All],4,FALSE),"")</f>
        <v>TEURTERIE Laurence</v>
      </c>
      <c r="S30" s="101">
        <f>IF(Rencontres_N3_PN_Rx[[#This Row],[Code_JA]]&lt;&gt;"",COUNTIF(Rencontres_N3_PN_Rx[Code_JA],Rencontres_N3_PN_Rx[[#This Row],[Code_JA]]),0)</f>
        <v>4</v>
      </c>
      <c r="T30" s="102">
        <v>0</v>
      </c>
      <c r="U30" s="103">
        <v>16</v>
      </c>
      <c r="V30" s="102">
        <f>IF(AND(Rencontres_N3_PN_Rx[[#This Row],[JA à nommer]]="oui",Rencontres_N3_PN_Rx[[#This Row],[Code_JA]]&lt;&gt;""),Rencontres_N3_PN_Rx[[#This Row],[Peages]]+(Rencontres_N3_PN_Rx[[#This Row],[KM_JA]]*0.3)+25,0)</f>
        <v>29.8</v>
      </c>
      <c r="X30" s="102">
        <f>IF(Rencontres_N3_PN_Rx[[#This Row],[defiscal]]="OUI",Rencontres_N3_PN_Rx[[#This Row],[Peages]]+(Rencontres_N3_PN_Rx[[#This Row],[KM_JA]]*0.3),0)</f>
        <v>0</v>
      </c>
    </row>
    <row r="31" spans="1:24" x14ac:dyDescent="0.25">
      <c r="A31" s="101">
        <v>30</v>
      </c>
      <c r="B31" s="100" t="s">
        <v>2541</v>
      </c>
      <c r="C31" s="104">
        <v>45927</v>
      </c>
      <c r="D31" s="100" t="s">
        <v>2542</v>
      </c>
      <c r="E31" s="106" t="s">
        <v>4128</v>
      </c>
      <c r="F31" s="100" t="s">
        <v>2543</v>
      </c>
      <c r="G31" s="100" t="s">
        <v>2566</v>
      </c>
      <c r="H31" s="100" t="s">
        <v>2600</v>
      </c>
      <c r="I31" s="100">
        <v>1</v>
      </c>
      <c r="J31" s="100">
        <v>1</v>
      </c>
      <c r="L31" s="100" t="s">
        <v>2718</v>
      </c>
      <c r="M31" s="100" t="s">
        <v>1468</v>
      </c>
      <c r="N31" s="100" t="s">
        <v>2606</v>
      </c>
      <c r="O31" s="100" t="s">
        <v>2668</v>
      </c>
      <c r="P31" s="100">
        <v>50</v>
      </c>
      <c r="Q31" s="100" t="s">
        <v>3317</v>
      </c>
      <c r="R31" s="100" t="str">
        <f>IFERROR(VLOOKUP(Rencontres_N3_PN_Rx[[#This Row],[Code_JA]],tab_JA[#All],3,FALSE)&amp;" "&amp;VLOOKUP(Rencontres_N3_PN_Rx[[#This Row],[Code_JA]],tab_JA[#All],4,FALSE),"")</f>
        <v>LEPROVOST Patrick</v>
      </c>
      <c r="S31" s="101">
        <f>IF(Rencontres_N3_PN_Rx[[#This Row],[Code_JA]]&lt;&gt;"",COUNTIF(Rencontres_N3_PN_Rx[Code_JA],Rencontres_N3_PN_Rx[[#This Row],[Code_JA]]),0)</f>
        <v>2</v>
      </c>
      <c r="T31" s="102">
        <v>0</v>
      </c>
      <c r="U31" s="103">
        <v>0</v>
      </c>
      <c r="V31" s="102">
        <f>IF(AND(Rencontres_N3_PN_Rx[[#This Row],[JA à nommer]]="oui",Rencontres_N3_PN_Rx[[#This Row],[Code_JA]]&lt;&gt;""),Rencontres_N3_PN_Rx[[#This Row],[Peages]]+(Rencontres_N3_PN_Rx[[#This Row],[KM_JA]]*0.3)+25,0)</f>
        <v>0</v>
      </c>
      <c r="X31" s="102">
        <f>IF(Rencontres_N3_PN_Rx[[#This Row],[defiscal]]="OUI",Rencontres_N3_PN_Rx[[#This Row],[Peages]]+(Rencontres_N3_PN_Rx[[#This Row],[KM_JA]]*0.3),0)</f>
        <v>0</v>
      </c>
    </row>
    <row r="32" spans="1:24" x14ac:dyDescent="0.25">
      <c r="A32" s="101">
        <v>31</v>
      </c>
      <c r="B32" s="100" t="s">
        <v>2541</v>
      </c>
      <c r="C32" s="104">
        <v>45927</v>
      </c>
      <c r="D32" s="100" t="s">
        <v>2542</v>
      </c>
      <c r="E32" s="106" t="s">
        <v>4128</v>
      </c>
      <c r="F32" s="100" t="s">
        <v>2543</v>
      </c>
      <c r="G32" s="100" t="s">
        <v>2566</v>
      </c>
      <c r="H32" s="100" t="s">
        <v>2600</v>
      </c>
      <c r="I32" s="100">
        <v>2</v>
      </c>
      <c r="J32" s="100">
        <v>1</v>
      </c>
      <c r="L32" s="100" t="s">
        <v>2718</v>
      </c>
      <c r="M32" s="100" t="s">
        <v>246</v>
      </c>
      <c r="N32" s="100" t="s">
        <v>2610</v>
      </c>
      <c r="O32" s="100" t="s">
        <v>2607</v>
      </c>
      <c r="P32" s="100">
        <v>50</v>
      </c>
      <c r="Q32" s="100" t="s">
        <v>3272</v>
      </c>
      <c r="R32" s="100" t="str">
        <f>IFERROR(VLOOKUP(Rencontres_N3_PN_Rx[[#This Row],[Code_JA]],tab_JA[#All],3,FALSE)&amp;" "&amp;VLOOKUP(Rencontres_N3_PN_Rx[[#This Row],[Code_JA]],tab_JA[#All],4,FALSE),"")</f>
        <v>BINARD Mathis</v>
      </c>
      <c r="S32" s="101">
        <f>IF(Rencontres_N3_PN_Rx[[#This Row],[Code_JA]]&lt;&gt;"",COUNTIF(Rencontres_N3_PN_Rx[Code_JA],Rencontres_N3_PN_Rx[[#This Row],[Code_JA]]),0)</f>
        <v>5</v>
      </c>
      <c r="T32" s="102">
        <v>0</v>
      </c>
      <c r="U32" s="103">
        <v>0</v>
      </c>
      <c r="V32" s="102">
        <f>IF(AND(Rencontres_N3_PN_Rx[[#This Row],[JA à nommer]]="oui",Rencontres_N3_PN_Rx[[#This Row],[Code_JA]]&lt;&gt;""),Rencontres_N3_PN_Rx[[#This Row],[Peages]]+(Rencontres_N3_PN_Rx[[#This Row],[KM_JA]]*0.3)+25,0)</f>
        <v>0</v>
      </c>
      <c r="X32" s="102">
        <f>IF(Rencontres_N3_PN_Rx[[#This Row],[defiscal]]="OUI",Rencontres_N3_PN_Rx[[#This Row],[Peages]]+(Rencontres_N3_PN_Rx[[#This Row],[KM_JA]]*0.3),0)</f>
        <v>0</v>
      </c>
    </row>
    <row r="33" spans="1:24" x14ac:dyDescent="0.25">
      <c r="A33" s="101">
        <v>32</v>
      </c>
      <c r="B33" s="100" t="s">
        <v>2541</v>
      </c>
      <c r="C33" s="104">
        <v>45927</v>
      </c>
      <c r="D33" s="100" t="s">
        <v>2542</v>
      </c>
      <c r="E33" s="106" t="s">
        <v>4128</v>
      </c>
      <c r="F33" s="100" t="s">
        <v>2543</v>
      </c>
      <c r="G33" s="100" t="s">
        <v>2566</v>
      </c>
      <c r="H33" s="100" t="s">
        <v>2600</v>
      </c>
      <c r="I33" s="100">
        <v>2</v>
      </c>
      <c r="J33" s="100">
        <v>1</v>
      </c>
      <c r="L33" s="100" t="s">
        <v>2718</v>
      </c>
      <c r="M33" s="100" t="s">
        <v>1213</v>
      </c>
      <c r="N33" s="100" t="s">
        <v>2614</v>
      </c>
      <c r="O33" s="100" t="s">
        <v>2611</v>
      </c>
      <c r="P33" s="100">
        <v>50</v>
      </c>
      <c r="Q33" s="100" t="s">
        <v>1205</v>
      </c>
      <c r="R33" s="100" t="str">
        <f>IFERROR(VLOOKUP(Rencontres_N3_PN_Rx[[#This Row],[Code_JA]],tab_JA[#All],3,FALSE)&amp;" "&amp;VLOOKUP(Rencontres_N3_PN_Rx[[#This Row],[Code_JA]],tab_JA[#All],4,FALSE),"")</f>
        <v>GUINGAND Kevin</v>
      </c>
      <c r="S33" s="101">
        <f>IF(Rencontres_N3_PN_Rx[[#This Row],[Code_JA]]&lt;&gt;"",COUNTIF(Rencontres_N3_PN_Rx[Code_JA],Rencontres_N3_PN_Rx[[#This Row],[Code_JA]]),0)</f>
        <v>2</v>
      </c>
      <c r="T33" s="102">
        <v>0</v>
      </c>
      <c r="U33" s="103">
        <v>0</v>
      </c>
      <c r="V33" s="102">
        <f>IF(AND(Rencontres_N3_PN_Rx[[#This Row],[JA à nommer]]="oui",Rencontres_N3_PN_Rx[[#This Row],[Code_JA]]&lt;&gt;""),Rencontres_N3_PN_Rx[[#This Row],[Peages]]+(Rencontres_N3_PN_Rx[[#This Row],[KM_JA]]*0.3)+25,0)</f>
        <v>0</v>
      </c>
      <c r="X33" s="102">
        <f>IF(Rencontres_N3_PN_Rx[[#This Row],[defiscal]]="OUI",Rencontres_N3_PN_Rx[[#This Row],[Peages]]+(Rencontres_N3_PN_Rx[[#This Row],[KM_JA]]*0.3),0)</f>
        <v>0</v>
      </c>
    </row>
    <row r="34" spans="1:24" x14ac:dyDescent="0.25">
      <c r="A34" s="101">
        <v>33</v>
      </c>
      <c r="B34" s="100" t="s">
        <v>2541</v>
      </c>
      <c r="C34" s="104">
        <v>45927</v>
      </c>
      <c r="D34" s="100" t="s">
        <v>2542</v>
      </c>
      <c r="E34" s="106" t="s">
        <v>4128</v>
      </c>
      <c r="F34" s="100" t="s">
        <v>2543</v>
      </c>
      <c r="G34" s="100" t="s">
        <v>2566</v>
      </c>
      <c r="H34" s="100" t="s">
        <v>2600</v>
      </c>
      <c r="I34" s="100">
        <v>2</v>
      </c>
      <c r="J34" s="100">
        <v>1</v>
      </c>
      <c r="L34" s="100" t="s">
        <v>2718</v>
      </c>
      <c r="M34" s="100" t="s">
        <v>294</v>
      </c>
      <c r="N34" s="100" t="s">
        <v>2608</v>
      </c>
      <c r="O34" s="100" t="s">
        <v>2613</v>
      </c>
      <c r="P34" s="100">
        <v>50</v>
      </c>
      <c r="Q34" s="100" t="s">
        <v>286</v>
      </c>
      <c r="R34" s="100" t="str">
        <f>IFERROR(VLOOKUP(Rencontres_N3_PN_Rx[[#This Row],[Code_JA]],tab_JA[#All],3,FALSE)&amp;" "&amp;VLOOKUP(Rencontres_N3_PN_Rx[[#This Row],[Code_JA]],tab_JA[#All],4,FALSE),"")</f>
        <v>BOUCHE Nathalie</v>
      </c>
      <c r="S34" s="101">
        <f>IF(Rencontres_N3_PN_Rx[[#This Row],[Code_JA]]&lt;&gt;"",COUNTIF(Rencontres_N3_PN_Rx[Code_JA],Rencontres_N3_PN_Rx[[#This Row],[Code_JA]]),0)</f>
        <v>4</v>
      </c>
      <c r="T34" s="102">
        <v>0</v>
      </c>
      <c r="U34" s="103">
        <v>0</v>
      </c>
      <c r="V34" s="102">
        <f>IF(AND(Rencontres_N3_PN_Rx[[#This Row],[JA à nommer]]="oui",Rencontres_N3_PN_Rx[[#This Row],[Code_JA]]&lt;&gt;""),Rencontres_N3_PN_Rx[[#This Row],[Peages]]+(Rencontres_N3_PN_Rx[[#This Row],[KM_JA]]*0.3)+25,0)</f>
        <v>0</v>
      </c>
      <c r="X34" s="102">
        <f>IF(Rencontres_N3_PN_Rx[[#This Row],[defiscal]]="OUI",Rencontres_N3_PN_Rx[[#This Row],[Peages]]+(Rencontres_N3_PN_Rx[[#This Row],[KM_JA]]*0.3),0)</f>
        <v>0</v>
      </c>
    </row>
    <row r="35" spans="1:24" x14ac:dyDescent="0.25">
      <c r="A35" s="101">
        <v>34</v>
      </c>
      <c r="B35" s="100" t="s">
        <v>2541</v>
      </c>
      <c r="C35" s="104">
        <v>45927</v>
      </c>
      <c r="D35" s="100" t="s">
        <v>2542</v>
      </c>
      <c r="E35" s="106" t="s">
        <v>4128</v>
      </c>
      <c r="F35" s="100" t="s">
        <v>2543</v>
      </c>
      <c r="G35" s="100" t="s">
        <v>2566</v>
      </c>
      <c r="H35" s="100" t="s">
        <v>2600</v>
      </c>
      <c r="I35" s="100">
        <v>3</v>
      </c>
      <c r="J35" s="100">
        <v>1</v>
      </c>
      <c r="L35" s="100" t="s">
        <v>2718</v>
      </c>
      <c r="M35" s="100" t="s">
        <v>1961</v>
      </c>
      <c r="N35" s="100" t="s">
        <v>2618</v>
      </c>
      <c r="O35" s="100" t="s">
        <v>2615</v>
      </c>
      <c r="P35" s="100">
        <v>50</v>
      </c>
      <c r="Q35" s="100" t="s">
        <v>3325</v>
      </c>
      <c r="R35" s="100" t="str">
        <f>IFERROR(VLOOKUP(Rencontres_N3_PN_Rx[[#This Row],[Code_JA]],tab_JA[#All],3,FALSE)&amp;" "&amp;VLOOKUP(Rencontres_N3_PN_Rx[[#This Row],[Code_JA]],tab_JA[#All],4,FALSE),"")</f>
        <v>LUCAS Stephanie</v>
      </c>
      <c r="S35" s="101">
        <f>IF(Rencontres_N3_PN_Rx[[#This Row],[Code_JA]]&lt;&gt;"",COUNTIF(Rencontres_N3_PN_Rx[Code_JA],Rencontres_N3_PN_Rx[[#This Row],[Code_JA]]),0)</f>
        <v>7</v>
      </c>
      <c r="T35" s="102">
        <v>0</v>
      </c>
      <c r="U35" s="103">
        <v>0</v>
      </c>
      <c r="V35" s="102">
        <f>IF(AND(Rencontres_N3_PN_Rx[[#This Row],[JA à nommer]]="oui",Rencontres_N3_PN_Rx[[#This Row],[Code_JA]]&lt;&gt;""),Rencontres_N3_PN_Rx[[#This Row],[Peages]]+(Rencontres_N3_PN_Rx[[#This Row],[KM_JA]]*0.3)+25,0)</f>
        <v>0</v>
      </c>
      <c r="X35" s="102">
        <f>IF(Rencontres_N3_PN_Rx[[#This Row],[defiscal]]="OUI",Rencontres_N3_PN_Rx[[#This Row],[Peages]]+(Rencontres_N3_PN_Rx[[#This Row],[KM_JA]]*0.3),0)</f>
        <v>0</v>
      </c>
    </row>
    <row r="36" spans="1:24" x14ac:dyDescent="0.25">
      <c r="A36" s="101">
        <v>35</v>
      </c>
      <c r="B36" s="100" t="s">
        <v>2541</v>
      </c>
      <c r="C36" s="104">
        <v>45927</v>
      </c>
      <c r="D36" s="100" t="s">
        <v>2542</v>
      </c>
      <c r="E36" s="106" t="s">
        <v>4128</v>
      </c>
      <c r="F36" s="100" t="s">
        <v>2543</v>
      </c>
      <c r="G36" s="100" t="s">
        <v>2566</v>
      </c>
      <c r="H36" s="100" t="s">
        <v>2600</v>
      </c>
      <c r="I36" s="100">
        <v>3</v>
      </c>
      <c r="J36" s="100">
        <v>1</v>
      </c>
      <c r="L36" s="100" t="s">
        <v>2718</v>
      </c>
      <c r="M36" s="100" t="s">
        <v>1179</v>
      </c>
      <c r="N36" s="100" t="s">
        <v>2616</v>
      </c>
      <c r="O36" s="100" t="s">
        <v>2621</v>
      </c>
      <c r="P36" s="100">
        <v>50</v>
      </c>
      <c r="Q36" s="100" t="s">
        <v>1441</v>
      </c>
      <c r="R36" s="100" t="str">
        <f>IFERROR(VLOOKUP(Rencontres_N3_PN_Rx[[#This Row],[Code_JA]],tab_JA[#All],3,FALSE)&amp;" "&amp;VLOOKUP(Rencontres_N3_PN_Rx[[#This Row],[Code_JA]],tab_JA[#All],4,FALSE),"")</f>
        <v>LAVIGNE Francois</v>
      </c>
      <c r="S36" s="101">
        <f>IF(Rencontres_N3_PN_Rx[[#This Row],[Code_JA]]&lt;&gt;"",COUNTIF(Rencontres_N3_PN_Rx[Code_JA],Rencontres_N3_PN_Rx[[#This Row],[Code_JA]]),0)</f>
        <v>2</v>
      </c>
      <c r="T36" s="102">
        <v>0</v>
      </c>
      <c r="U36" s="103">
        <v>0</v>
      </c>
      <c r="V36" s="102">
        <f>IF(AND(Rencontres_N3_PN_Rx[[#This Row],[JA à nommer]]="oui",Rencontres_N3_PN_Rx[[#This Row],[Code_JA]]&lt;&gt;""),Rencontres_N3_PN_Rx[[#This Row],[Peages]]+(Rencontres_N3_PN_Rx[[#This Row],[KM_JA]]*0.3)+25,0)</f>
        <v>0</v>
      </c>
      <c r="X36" s="102">
        <f>IF(Rencontres_N3_PN_Rx[[#This Row],[defiscal]]="OUI",Rencontres_N3_PN_Rx[[#This Row],[Peages]]+(Rencontres_N3_PN_Rx[[#This Row],[KM_JA]]*0.3),0)</f>
        <v>0</v>
      </c>
    </row>
    <row r="37" spans="1:24" x14ac:dyDescent="0.25">
      <c r="A37" s="101">
        <v>36</v>
      </c>
      <c r="B37" s="100" t="s">
        <v>2541</v>
      </c>
      <c r="C37" s="104">
        <v>45927</v>
      </c>
      <c r="D37" s="100" t="s">
        <v>2542</v>
      </c>
      <c r="E37" s="106" t="s">
        <v>4129</v>
      </c>
      <c r="F37" s="100" t="s">
        <v>2543</v>
      </c>
      <c r="G37" s="100" t="s">
        <v>2566</v>
      </c>
      <c r="H37" s="100" t="s">
        <v>2600</v>
      </c>
      <c r="I37" s="100">
        <v>4</v>
      </c>
      <c r="J37" s="100">
        <v>1</v>
      </c>
      <c r="L37" s="100" t="s">
        <v>2718</v>
      </c>
      <c r="M37" s="100" t="s">
        <v>1533</v>
      </c>
      <c r="N37" s="100" t="s">
        <v>2626</v>
      </c>
      <c r="O37" s="100" t="s">
        <v>2623</v>
      </c>
      <c r="P37" s="100">
        <v>50</v>
      </c>
      <c r="Q37" s="100" t="s">
        <v>1232</v>
      </c>
      <c r="R37" s="100" t="str">
        <f>IFERROR(VLOOKUP(Rencontres_N3_PN_Rx[[#This Row],[Code_JA]],tab_JA[#All],3,FALSE)&amp;" "&amp;VLOOKUP(Rencontres_N3_PN_Rx[[#This Row],[Code_JA]],tab_JA[#All],4,FALSE),"")</f>
        <v>HEBERT David</v>
      </c>
      <c r="S37" s="101">
        <f>IF(Rencontres_N3_PN_Rx[[#This Row],[Code_JA]]&lt;&gt;"",COUNTIF(Rencontres_N3_PN_Rx[Code_JA],Rencontres_N3_PN_Rx[[#This Row],[Code_JA]]),0)</f>
        <v>1</v>
      </c>
      <c r="T37" s="102">
        <v>0</v>
      </c>
      <c r="U37" s="103">
        <v>90</v>
      </c>
      <c r="V37" s="102">
        <f>IF(AND(Rencontres_N3_PN_Rx[[#This Row],[JA à nommer]]="oui",Rencontres_N3_PN_Rx[[#This Row],[Code_JA]]&lt;&gt;""),Rencontres_N3_PN_Rx[[#This Row],[Peages]]+(Rencontres_N3_PN_Rx[[#This Row],[KM_JA]]*0.3)+25,0)</f>
        <v>52</v>
      </c>
      <c r="X37" s="102">
        <f>IF(Rencontres_N3_PN_Rx[[#This Row],[defiscal]]="OUI",Rencontres_N3_PN_Rx[[#This Row],[Peages]]+(Rencontres_N3_PN_Rx[[#This Row],[KM_JA]]*0.3),0)</f>
        <v>0</v>
      </c>
    </row>
    <row r="38" spans="1:24" x14ac:dyDescent="0.25">
      <c r="A38" s="101">
        <v>37</v>
      </c>
      <c r="B38" s="100" t="s">
        <v>2541</v>
      </c>
      <c r="C38" s="104">
        <v>45927</v>
      </c>
      <c r="D38" s="100" t="s">
        <v>2542</v>
      </c>
      <c r="E38" s="106" t="s">
        <v>4129</v>
      </c>
      <c r="F38" s="100" t="s">
        <v>2543</v>
      </c>
      <c r="G38" s="100" t="s">
        <v>2566</v>
      </c>
      <c r="H38" s="100" t="s">
        <v>2600</v>
      </c>
      <c r="I38" s="100">
        <v>4</v>
      </c>
      <c r="J38" s="100">
        <v>1</v>
      </c>
      <c r="L38" s="100" t="s">
        <v>2718</v>
      </c>
      <c r="M38" s="100" t="s">
        <v>691</v>
      </c>
      <c r="N38" s="100" t="s">
        <v>2630</v>
      </c>
      <c r="O38" s="100" t="s">
        <v>2627</v>
      </c>
      <c r="P38" s="100">
        <v>50</v>
      </c>
      <c r="Q38" s="100" t="s">
        <v>201</v>
      </c>
      <c r="R38" s="100" t="str">
        <f>IFERROR(VLOOKUP(Rencontres_N3_PN_Rx[[#This Row],[Code_JA]],tab_JA[#All],3,FALSE)&amp;" "&amp;VLOOKUP(Rencontres_N3_PN_Rx[[#This Row],[Code_JA]],tab_JA[#All],4,FALSE),"")</f>
        <v>BENARD Christophe</v>
      </c>
      <c r="S38" s="101">
        <f>IF(Rencontres_N3_PN_Rx[[#This Row],[Code_JA]]&lt;&gt;"",COUNTIF(Rencontres_N3_PN_Rx[Code_JA],Rencontres_N3_PN_Rx[[#This Row],[Code_JA]]),0)</f>
        <v>3</v>
      </c>
      <c r="T38" s="102">
        <v>0</v>
      </c>
      <c r="U38" s="103">
        <v>27</v>
      </c>
      <c r="V38" s="102">
        <f>IF(AND(Rencontres_N3_PN_Rx[[#This Row],[JA à nommer]]="oui",Rencontres_N3_PN_Rx[[#This Row],[Code_JA]]&lt;&gt;""),Rencontres_N3_PN_Rx[[#This Row],[Peages]]+(Rencontres_N3_PN_Rx[[#This Row],[KM_JA]]*0.3)+25,0)</f>
        <v>33.1</v>
      </c>
      <c r="X38" s="102">
        <f>IF(Rencontres_N3_PN_Rx[[#This Row],[defiscal]]="OUI",Rencontres_N3_PN_Rx[[#This Row],[Peages]]+(Rencontres_N3_PN_Rx[[#This Row],[KM_JA]]*0.3),0)</f>
        <v>0</v>
      </c>
    </row>
    <row r="39" spans="1:24" x14ac:dyDescent="0.25">
      <c r="A39" s="101">
        <v>38</v>
      </c>
      <c r="B39" s="100" t="s">
        <v>2541</v>
      </c>
      <c r="C39" s="104">
        <v>45927</v>
      </c>
      <c r="D39" s="100" t="s">
        <v>2542</v>
      </c>
      <c r="E39" s="106" t="s">
        <v>4128</v>
      </c>
      <c r="F39" s="100" t="s">
        <v>2543</v>
      </c>
      <c r="G39" s="100" t="s">
        <v>2566</v>
      </c>
      <c r="H39" s="100" t="s">
        <v>2631</v>
      </c>
      <c r="I39" s="100">
        <v>1</v>
      </c>
      <c r="J39" s="100">
        <v>1</v>
      </c>
      <c r="L39" s="100" t="s">
        <v>2718</v>
      </c>
      <c r="M39" s="100" t="s">
        <v>189</v>
      </c>
      <c r="N39" s="100" t="s">
        <v>2637</v>
      </c>
      <c r="O39" s="100" t="s">
        <v>2634</v>
      </c>
      <c r="P39" s="100">
        <v>50</v>
      </c>
      <c r="R39" s="100" t="str">
        <f>IFERROR(VLOOKUP(Rencontres_N3_PN_Rx[[#This Row],[Code_JA]],tab_JA[#All],3,FALSE)&amp;" "&amp;VLOOKUP(Rencontres_N3_PN_Rx[[#This Row],[Code_JA]],tab_JA[#All],4,FALSE),"")</f>
        <v/>
      </c>
      <c r="S39" s="101">
        <f>IF(Rencontres_N3_PN_Rx[[#This Row],[Code_JA]]&lt;&gt;"",COUNTIF(Rencontres_N3_PN_Rx[Code_JA],Rencontres_N3_PN_Rx[[#This Row],[Code_JA]]),0)</f>
        <v>0</v>
      </c>
      <c r="T39" s="102">
        <v>0</v>
      </c>
      <c r="U39" s="103">
        <v>0</v>
      </c>
      <c r="V39" s="102">
        <f>IF(AND(Rencontres_N3_PN_Rx[[#This Row],[JA à nommer]]="oui",Rencontres_N3_PN_Rx[[#This Row],[Code_JA]]&lt;&gt;""),Rencontres_N3_PN_Rx[[#This Row],[Peages]]+(Rencontres_N3_PN_Rx[[#This Row],[KM_JA]]*0.3)+25,0)</f>
        <v>0</v>
      </c>
      <c r="X39" s="102">
        <f>IF(Rencontres_N3_PN_Rx[[#This Row],[defiscal]]="OUI",Rencontres_N3_PN_Rx[[#This Row],[Peages]]+(Rencontres_N3_PN_Rx[[#This Row],[KM_JA]]*0.3),0)</f>
        <v>0</v>
      </c>
    </row>
    <row r="40" spans="1:24" x14ac:dyDescent="0.25">
      <c r="A40" s="101">
        <v>39</v>
      </c>
      <c r="B40" s="100" t="s">
        <v>2541</v>
      </c>
      <c r="C40" s="104">
        <v>45927</v>
      </c>
      <c r="D40" s="100" t="s">
        <v>2542</v>
      </c>
      <c r="E40" s="106" t="s">
        <v>4128</v>
      </c>
      <c r="F40" s="100" t="s">
        <v>2543</v>
      </c>
      <c r="G40" s="100" t="s">
        <v>2566</v>
      </c>
      <c r="H40" s="100" t="s">
        <v>2631</v>
      </c>
      <c r="I40" s="100">
        <v>1</v>
      </c>
      <c r="J40" s="100">
        <v>1</v>
      </c>
      <c r="L40" s="100" t="s">
        <v>2718</v>
      </c>
      <c r="M40" s="100" t="s">
        <v>1364</v>
      </c>
      <c r="N40" s="100" t="s">
        <v>2633</v>
      </c>
      <c r="O40" s="100" t="s">
        <v>2636</v>
      </c>
      <c r="P40" s="100">
        <v>50</v>
      </c>
      <c r="Q40" s="100" t="s">
        <v>3296</v>
      </c>
      <c r="R40" s="100" t="str">
        <f>IFERROR(VLOOKUP(Rencontres_N3_PN_Rx[[#This Row],[Code_JA]],tab_JA[#All],3,FALSE)&amp;" "&amp;VLOOKUP(Rencontres_N3_PN_Rx[[#This Row],[Code_JA]],tab_JA[#All],4,FALSE),"")</f>
        <v>JOUIN JEHAN Corentin</v>
      </c>
      <c r="S40" s="101">
        <f>IF(Rencontres_N3_PN_Rx[[#This Row],[Code_JA]]&lt;&gt;"",COUNTIF(Rencontres_N3_PN_Rx[Code_JA],Rencontres_N3_PN_Rx[[#This Row],[Code_JA]]),0)</f>
        <v>9</v>
      </c>
      <c r="T40" s="102">
        <v>0</v>
      </c>
      <c r="U40" s="103">
        <v>0</v>
      </c>
      <c r="V40" s="102">
        <f>IF(AND(Rencontres_N3_PN_Rx[[#This Row],[JA à nommer]]="oui",Rencontres_N3_PN_Rx[[#This Row],[Code_JA]]&lt;&gt;""),Rencontres_N3_PN_Rx[[#This Row],[Peages]]+(Rencontres_N3_PN_Rx[[#This Row],[KM_JA]]*0.3)+25,0)</f>
        <v>0</v>
      </c>
      <c r="X40" s="102">
        <f>IF(Rencontres_N3_PN_Rx[[#This Row],[defiscal]]="OUI",Rencontres_N3_PN_Rx[[#This Row],[Peages]]+(Rencontres_N3_PN_Rx[[#This Row],[KM_JA]]*0.3),0)</f>
        <v>0</v>
      </c>
    </row>
    <row r="41" spans="1:24" x14ac:dyDescent="0.25">
      <c r="A41" s="101">
        <v>40</v>
      </c>
      <c r="B41" s="100" t="s">
        <v>2541</v>
      </c>
      <c r="C41" s="104">
        <v>45927</v>
      </c>
      <c r="D41" s="100" t="s">
        <v>2542</v>
      </c>
      <c r="E41" s="106" t="s">
        <v>4128</v>
      </c>
      <c r="F41" s="100" t="s">
        <v>2543</v>
      </c>
      <c r="G41" s="100" t="s">
        <v>2566</v>
      </c>
      <c r="H41" s="100" t="s">
        <v>2631</v>
      </c>
      <c r="I41" s="100">
        <v>2</v>
      </c>
      <c r="J41" s="100">
        <v>1</v>
      </c>
      <c r="L41" s="100" t="s">
        <v>2718</v>
      </c>
      <c r="M41" s="100" t="s">
        <v>707</v>
      </c>
      <c r="N41" s="100" t="s">
        <v>2639</v>
      </c>
      <c r="O41" s="100" t="s">
        <v>2672</v>
      </c>
      <c r="P41" s="100">
        <v>50</v>
      </c>
      <c r="Q41" s="100" t="s">
        <v>2395</v>
      </c>
      <c r="R41" s="100" t="str">
        <f>IFERROR(VLOOKUP(Rencontres_N3_PN_Rx[[#This Row],[Code_JA]],tab_JA[#All],3,FALSE)&amp;" "&amp;VLOOKUP(Rencontres_N3_PN_Rx[[#This Row],[Code_JA]],tab_JA[#All],4,FALSE),"")</f>
        <v>TRAVES Annie</v>
      </c>
      <c r="S41" s="101">
        <f>IF(Rencontres_N3_PN_Rx[[#This Row],[Code_JA]]&lt;&gt;"",COUNTIF(Rencontres_N3_PN_Rx[Code_JA],Rencontres_N3_PN_Rx[[#This Row],[Code_JA]]),0)</f>
        <v>7</v>
      </c>
      <c r="T41" s="102">
        <v>0</v>
      </c>
      <c r="U41" s="103">
        <v>0</v>
      </c>
      <c r="V41" s="102">
        <f>IF(AND(Rencontres_N3_PN_Rx[[#This Row],[JA à nommer]]="oui",Rencontres_N3_PN_Rx[[#This Row],[Code_JA]]&lt;&gt;""),Rencontres_N3_PN_Rx[[#This Row],[Peages]]+(Rencontres_N3_PN_Rx[[#This Row],[KM_JA]]*0.3)+25,0)</f>
        <v>0</v>
      </c>
      <c r="X41" s="102">
        <f>IF(Rencontres_N3_PN_Rx[[#This Row],[defiscal]]="OUI",Rencontres_N3_PN_Rx[[#This Row],[Peages]]+(Rencontres_N3_PN_Rx[[#This Row],[KM_JA]]*0.3),0)</f>
        <v>0</v>
      </c>
    </row>
    <row r="42" spans="1:24" x14ac:dyDescent="0.25">
      <c r="A42" s="101">
        <v>41</v>
      </c>
      <c r="B42" s="100" t="s">
        <v>2541</v>
      </c>
      <c r="C42" s="104">
        <v>45927</v>
      </c>
      <c r="D42" s="100" t="s">
        <v>2542</v>
      </c>
      <c r="E42" s="106" t="s">
        <v>4129</v>
      </c>
      <c r="F42" s="100" t="s">
        <v>2543</v>
      </c>
      <c r="G42" s="100" t="s">
        <v>2566</v>
      </c>
      <c r="H42" s="100" t="s">
        <v>2631</v>
      </c>
      <c r="I42" s="100">
        <v>2</v>
      </c>
      <c r="J42" s="100">
        <v>1</v>
      </c>
      <c r="L42" s="100" t="s">
        <v>2718</v>
      </c>
      <c r="M42" s="100" t="s">
        <v>691</v>
      </c>
      <c r="N42" s="100" t="s">
        <v>2643</v>
      </c>
      <c r="O42" s="100" t="s">
        <v>2640</v>
      </c>
      <c r="P42" s="100">
        <v>50</v>
      </c>
      <c r="Q42" s="100" t="s">
        <v>201</v>
      </c>
      <c r="R42" s="100" t="str">
        <f>IFERROR(VLOOKUP(Rencontres_N3_PN_Rx[[#This Row],[Code_JA]],tab_JA[#All],3,FALSE)&amp;" "&amp;VLOOKUP(Rencontres_N3_PN_Rx[[#This Row],[Code_JA]],tab_JA[#All],4,FALSE),"")</f>
        <v>BENARD Christophe</v>
      </c>
      <c r="S42" s="101">
        <f>IF(Rencontres_N3_PN_Rx[[#This Row],[Code_JA]]&lt;&gt;"",COUNTIF(Rencontres_N3_PN_Rx[Code_JA],Rencontres_N3_PN_Rx[[#This Row],[Code_JA]]),0)</f>
        <v>3</v>
      </c>
      <c r="T42" s="102">
        <v>0</v>
      </c>
      <c r="U42" s="103">
        <v>27</v>
      </c>
      <c r="V42" s="102">
        <f>IF(AND(Rencontres_N3_PN_Rx[[#This Row],[JA à nommer]]="oui",Rencontres_N3_PN_Rx[[#This Row],[Code_JA]]&lt;&gt;""),Rencontres_N3_PN_Rx[[#This Row],[Peages]]+(Rencontres_N3_PN_Rx[[#This Row],[KM_JA]]*0.3)+25,0)</f>
        <v>33.1</v>
      </c>
      <c r="X42" s="102">
        <f>IF(Rencontres_N3_PN_Rx[[#This Row],[defiscal]]="OUI",Rencontres_N3_PN_Rx[[#This Row],[Peages]]+(Rencontres_N3_PN_Rx[[#This Row],[KM_JA]]*0.3),0)</f>
        <v>0</v>
      </c>
    </row>
    <row r="43" spans="1:24" x14ac:dyDescent="0.25">
      <c r="A43" s="101">
        <v>42</v>
      </c>
      <c r="B43" s="100" t="s">
        <v>2541</v>
      </c>
      <c r="C43" s="104">
        <v>45927</v>
      </c>
      <c r="D43" s="100" t="s">
        <v>2542</v>
      </c>
      <c r="E43" s="106" t="s">
        <v>4128</v>
      </c>
      <c r="F43" s="100" t="s">
        <v>2543</v>
      </c>
      <c r="G43" s="100" t="s">
        <v>2566</v>
      </c>
      <c r="H43" s="100" t="s">
        <v>2631</v>
      </c>
      <c r="I43" s="100">
        <v>2</v>
      </c>
      <c r="J43" s="100">
        <v>1</v>
      </c>
      <c r="L43" s="100" t="s">
        <v>2718</v>
      </c>
      <c r="M43" s="100" t="s">
        <v>294</v>
      </c>
      <c r="N43" s="100" t="s">
        <v>2673</v>
      </c>
      <c r="O43" s="100" t="s">
        <v>2642</v>
      </c>
      <c r="P43" s="100">
        <v>50</v>
      </c>
      <c r="Q43" s="100" t="s">
        <v>286</v>
      </c>
      <c r="R43" s="100" t="str">
        <f>IFERROR(VLOOKUP(Rencontres_N3_PN_Rx[[#This Row],[Code_JA]],tab_JA[#All],3,FALSE)&amp;" "&amp;VLOOKUP(Rencontres_N3_PN_Rx[[#This Row],[Code_JA]],tab_JA[#All],4,FALSE),"")</f>
        <v>BOUCHE Nathalie</v>
      </c>
      <c r="S43" s="101">
        <f>IF(Rencontres_N3_PN_Rx[[#This Row],[Code_JA]]&lt;&gt;"",COUNTIF(Rencontres_N3_PN_Rx[Code_JA],Rencontres_N3_PN_Rx[[#This Row],[Code_JA]]),0)</f>
        <v>4</v>
      </c>
      <c r="T43" s="102">
        <v>0</v>
      </c>
      <c r="U43" s="103">
        <v>0</v>
      </c>
      <c r="V43" s="102">
        <f>IF(AND(Rencontres_N3_PN_Rx[[#This Row],[JA à nommer]]="oui",Rencontres_N3_PN_Rx[[#This Row],[Code_JA]]&lt;&gt;""),Rencontres_N3_PN_Rx[[#This Row],[Peages]]+(Rencontres_N3_PN_Rx[[#This Row],[KM_JA]]*0.3)+25,0)</f>
        <v>0</v>
      </c>
      <c r="X43" s="102">
        <f>IF(Rencontres_N3_PN_Rx[[#This Row],[defiscal]]="OUI",Rencontres_N3_PN_Rx[[#This Row],[Peages]]+(Rencontres_N3_PN_Rx[[#This Row],[KM_JA]]*0.3),0)</f>
        <v>0</v>
      </c>
    </row>
    <row r="44" spans="1:24" x14ac:dyDescent="0.25">
      <c r="A44" s="101">
        <v>43</v>
      </c>
      <c r="B44" s="100" t="s">
        <v>2541</v>
      </c>
      <c r="C44" s="104">
        <v>45927</v>
      </c>
      <c r="D44" s="100" t="s">
        <v>2542</v>
      </c>
      <c r="E44" s="106" t="s">
        <v>4129</v>
      </c>
      <c r="F44" s="100" t="s">
        <v>2543</v>
      </c>
      <c r="G44" s="100" t="s">
        <v>2566</v>
      </c>
      <c r="H44" s="100" t="s">
        <v>2631</v>
      </c>
      <c r="I44" s="100">
        <v>3</v>
      </c>
      <c r="J44" s="100">
        <v>1</v>
      </c>
      <c r="L44" s="100" t="s">
        <v>2718</v>
      </c>
      <c r="M44" s="100" t="s">
        <v>2495</v>
      </c>
      <c r="N44" s="100" t="s">
        <v>2675</v>
      </c>
      <c r="O44" s="100" t="s">
        <v>2646</v>
      </c>
      <c r="P44" s="100">
        <v>50</v>
      </c>
      <c r="Q44" s="100" t="s">
        <v>2358</v>
      </c>
      <c r="R44" s="100" t="str">
        <f>IFERROR(VLOOKUP(Rencontres_N3_PN_Rx[[#This Row],[Code_JA]],tab_JA[#All],3,FALSE)&amp;" "&amp;VLOOKUP(Rencontres_N3_PN_Rx[[#This Row],[Code_JA]],tab_JA[#All],4,FALSE),"")</f>
        <v>TEURTERIE Laurence</v>
      </c>
      <c r="S44" s="101">
        <f>IF(Rencontres_N3_PN_Rx[[#This Row],[Code_JA]]&lt;&gt;"",COUNTIF(Rencontres_N3_PN_Rx[Code_JA],Rencontres_N3_PN_Rx[[#This Row],[Code_JA]]),0)</f>
        <v>4</v>
      </c>
      <c r="T44" s="102">
        <v>0</v>
      </c>
      <c r="U44" s="103">
        <v>16</v>
      </c>
      <c r="V44" s="102">
        <f>IF(AND(Rencontres_N3_PN_Rx[[#This Row],[JA à nommer]]="oui",Rencontres_N3_PN_Rx[[#This Row],[Code_JA]]&lt;&gt;""),Rencontres_N3_PN_Rx[[#This Row],[Peages]]+(Rencontres_N3_PN_Rx[[#This Row],[KM_JA]]*0.3)+25,0)</f>
        <v>29.8</v>
      </c>
      <c r="X44" s="102">
        <f>IF(Rencontres_N3_PN_Rx[[#This Row],[defiscal]]="OUI",Rencontres_N3_PN_Rx[[#This Row],[Peages]]+(Rencontres_N3_PN_Rx[[#This Row],[KM_JA]]*0.3),0)</f>
        <v>0</v>
      </c>
    </row>
    <row r="45" spans="1:24" x14ac:dyDescent="0.25">
      <c r="A45" s="101">
        <v>44</v>
      </c>
      <c r="B45" s="100" t="s">
        <v>2541</v>
      </c>
      <c r="C45" s="104">
        <v>45927</v>
      </c>
      <c r="D45" s="100" t="s">
        <v>2542</v>
      </c>
      <c r="E45" s="106" t="s">
        <v>4128</v>
      </c>
      <c r="F45" s="100" t="s">
        <v>2543</v>
      </c>
      <c r="G45" s="100" t="s">
        <v>2566</v>
      </c>
      <c r="H45" s="100" t="s">
        <v>2631</v>
      </c>
      <c r="I45" s="100">
        <v>3</v>
      </c>
      <c r="J45" s="100">
        <v>1</v>
      </c>
      <c r="L45" s="100" t="s">
        <v>2718</v>
      </c>
      <c r="M45" s="100" t="s">
        <v>765</v>
      </c>
      <c r="N45" s="100" t="s">
        <v>2649</v>
      </c>
      <c r="O45" s="100" t="s">
        <v>2674</v>
      </c>
      <c r="P45" s="100">
        <v>50</v>
      </c>
      <c r="Q45" s="100" t="s">
        <v>3316</v>
      </c>
      <c r="R45" s="100" t="str">
        <f>IFERROR(VLOOKUP(Rencontres_N3_PN_Rx[[#This Row],[Code_JA]],tab_JA[#All],3,FALSE)&amp;" "&amp;VLOOKUP(Rencontres_N3_PN_Rx[[#This Row],[Code_JA]],tab_JA[#All],4,FALSE),"")</f>
        <v>LEPILLIEZ Laurent</v>
      </c>
      <c r="S45" s="101">
        <f>IF(Rencontres_N3_PN_Rx[[#This Row],[Code_JA]]&lt;&gt;"",COUNTIF(Rencontres_N3_PN_Rx[Code_JA],Rencontres_N3_PN_Rx[[#This Row],[Code_JA]]),0)</f>
        <v>3</v>
      </c>
      <c r="T45" s="102">
        <v>0</v>
      </c>
      <c r="U45" s="103">
        <v>0</v>
      </c>
      <c r="V45" s="102">
        <f>IF(AND(Rencontres_N3_PN_Rx[[#This Row],[JA à nommer]]="oui",Rencontres_N3_PN_Rx[[#This Row],[Code_JA]]&lt;&gt;""),Rencontres_N3_PN_Rx[[#This Row],[Peages]]+(Rencontres_N3_PN_Rx[[#This Row],[KM_JA]]*0.3)+25,0)</f>
        <v>0</v>
      </c>
      <c r="X45" s="102">
        <f>IF(Rencontres_N3_PN_Rx[[#This Row],[defiscal]]="OUI",Rencontres_N3_PN_Rx[[#This Row],[Peages]]+(Rencontres_N3_PN_Rx[[#This Row],[KM_JA]]*0.3),0)</f>
        <v>0</v>
      </c>
    </row>
    <row r="46" spans="1:24" x14ac:dyDescent="0.25">
      <c r="A46" s="101">
        <v>45</v>
      </c>
      <c r="B46" s="100" t="s">
        <v>2541</v>
      </c>
      <c r="C46" s="104">
        <v>45927</v>
      </c>
      <c r="D46" s="100" t="s">
        <v>2542</v>
      </c>
      <c r="E46" s="106" t="s">
        <v>4128</v>
      </c>
      <c r="F46" s="100" t="s">
        <v>2543</v>
      </c>
      <c r="G46" s="100" t="s">
        <v>2566</v>
      </c>
      <c r="H46" s="100" t="s">
        <v>2631</v>
      </c>
      <c r="I46" s="100">
        <v>4</v>
      </c>
      <c r="J46" s="100">
        <v>1</v>
      </c>
      <c r="L46" s="100" t="s">
        <v>2718</v>
      </c>
      <c r="M46" s="100" t="s">
        <v>478</v>
      </c>
      <c r="N46" s="100" t="s">
        <v>2655</v>
      </c>
      <c r="O46" s="100" t="s">
        <v>2652</v>
      </c>
      <c r="P46" s="100">
        <v>50</v>
      </c>
      <c r="Q46" s="100" t="s">
        <v>1794</v>
      </c>
      <c r="R46" s="100" t="str">
        <f>IFERROR(VLOOKUP(Rencontres_N3_PN_Rx[[#This Row],[Code_JA]],tab_JA[#All],3,FALSE)&amp;" "&amp;VLOOKUP(Rencontres_N3_PN_Rx[[#This Row],[Code_JA]],tab_JA[#All],4,FALSE),"")</f>
        <v>LETENDRE Dominique</v>
      </c>
      <c r="S46" s="101">
        <f>IF(Rencontres_N3_PN_Rx[[#This Row],[Code_JA]]&lt;&gt;"",COUNTIF(Rencontres_N3_PN_Rx[Code_JA],Rencontres_N3_PN_Rx[[#This Row],[Code_JA]]),0)</f>
        <v>6</v>
      </c>
      <c r="T46" s="102">
        <v>0</v>
      </c>
      <c r="U46" s="103">
        <v>0</v>
      </c>
      <c r="V46" s="102">
        <f>IF(AND(Rencontres_N3_PN_Rx[[#This Row],[JA à nommer]]="oui",Rencontres_N3_PN_Rx[[#This Row],[Code_JA]]&lt;&gt;""),Rencontres_N3_PN_Rx[[#This Row],[Peages]]+(Rencontres_N3_PN_Rx[[#This Row],[KM_JA]]*0.3)+25,0)</f>
        <v>0</v>
      </c>
      <c r="X46" s="102">
        <f>IF(Rencontres_N3_PN_Rx[[#This Row],[defiscal]]="OUI",Rencontres_N3_PN_Rx[[#This Row],[Peages]]+(Rencontres_N3_PN_Rx[[#This Row],[KM_JA]]*0.3),0)</f>
        <v>0</v>
      </c>
    </row>
    <row r="47" spans="1:24" x14ac:dyDescent="0.25">
      <c r="A47" s="101">
        <v>46</v>
      </c>
      <c r="B47" s="100" t="s">
        <v>2541</v>
      </c>
      <c r="C47" s="104">
        <v>45927</v>
      </c>
      <c r="D47" s="100" t="s">
        <v>2542</v>
      </c>
      <c r="E47" s="106" t="s">
        <v>4129</v>
      </c>
      <c r="F47" s="100" t="s">
        <v>2543</v>
      </c>
      <c r="G47" s="100" t="s">
        <v>2566</v>
      </c>
      <c r="H47" s="100" t="s">
        <v>2631</v>
      </c>
      <c r="I47" s="100">
        <v>4</v>
      </c>
      <c r="J47" s="100">
        <v>1</v>
      </c>
      <c r="L47" s="100" t="s">
        <v>2718</v>
      </c>
      <c r="M47" s="100" t="s">
        <v>173</v>
      </c>
      <c r="N47" s="100" t="s">
        <v>2657</v>
      </c>
      <c r="O47" s="100" t="s">
        <v>2654</v>
      </c>
      <c r="P47" s="100">
        <v>50</v>
      </c>
      <c r="Q47" s="100" t="s">
        <v>3325</v>
      </c>
      <c r="R47" s="100" t="str">
        <f>IFERROR(VLOOKUP(Rencontres_N3_PN_Rx[[#This Row],[Code_JA]],tab_JA[#All],3,FALSE)&amp;" "&amp;VLOOKUP(Rencontres_N3_PN_Rx[[#This Row],[Code_JA]],tab_JA[#All],4,FALSE),"")</f>
        <v>LUCAS Stephanie</v>
      </c>
      <c r="S47" s="101">
        <f>IF(Rencontres_N3_PN_Rx[[#This Row],[Code_JA]]&lt;&gt;"",COUNTIF(Rencontres_N3_PN_Rx[Code_JA],Rencontres_N3_PN_Rx[[#This Row],[Code_JA]]),0)</f>
        <v>7</v>
      </c>
      <c r="T47" s="102">
        <v>0</v>
      </c>
      <c r="U47" s="103">
        <v>12.6</v>
      </c>
      <c r="V47" s="102">
        <f>IF(AND(Rencontres_N3_PN_Rx[[#This Row],[JA à nommer]]="oui",Rencontres_N3_PN_Rx[[#This Row],[Code_JA]]&lt;&gt;""),Rencontres_N3_PN_Rx[[#This Row],[Peages]]+(Rencontres_N3_PN_Rx[[#This Row],[KM_JA]]*0.3)+25,0)</f>
        <v>28.78</v>
      </c>
      <c r="X47" s="102">
        <f>IF(Rencontres_N3_PN_Rx[[#This Row],[defiscal]]="OUI",Rencontres_N3_PN_Rx[[#This Row],[Peages]]+(Rencontres_N3_PN_Rx[[#This Row],[KM_JA]]*0.3),0)</f>
        <v>0</v>
      </c>
    </row>
    <row r="48" spans="1:24" x14ac:dyDescent="0.25">
      <c r="A48" s="101">
        <v>47</v>
      </c>
      <c r="B48" s="100" t="s">
        <v>2541</v>
      </c>
      <c r="C48" s="104">
        <v>45927</v>
      </c>
      <c r="D48" s="100" t="s">
        <v>2542</v>
      </c>
      <c r="E48" s="106" t="s">
        <v>4128</v>
      </c>
      <c r="F48" s="100" t="s">
        <v>2543</v>
      </c>
      <c r="G48" s="100" t="s">
        <v>2566</v>
      </c>
      <c r="H48" s="100" t="s">
        <v>2631</v>
      </c>
      <c r="I48" s="100">
        <v>4</v>
      </c>
      <c r="J48" s="100">
        <v>1</v>
      </c>
      <c r="L48" s="100" t="s">
        <v>2718</v>
      </c>
      <c r="M48" s="100" t="s">
        <v>854</v>
      </c>
      <c r="N48" s="100" t="s">
        <v>2651</v>
      </c>
      <c r="O48" s="100" t="s">
        <v>2656</v>
      </c>
      <c r="P48" s="100">
        <v>50</v>
      </c>
      <c r="Q48" s="100" t="s">
        <v>3281</v>
      </c>
      <c r="R48" s="100" t="str">
        <f>IFERROR(VLOOKUP(Rencontres_N3_PN_Rx[[#This Row],[Code_JA]],tab_JA[#All],3,FALSE)&amp;" "&amp;VLOOKUP(Rencontres_N3_PN_Rx[[#This Row],[Code_JA]],tab_JA[#All],4,FALSE),"")</f>
        <v>DESCHAMPS Jean-Marc</v>
      </c>
      <c r="S48" s="101">
        <f>IF(Rencontres_N3_PN_Rx[[#This Row],[Code_JA]]&lt;&gt;"",COUNTIF(Rencontres_N3_PN_Rx[Code_JA],Rencontres_N3_PN_Rx[[#This Row],[Code_JA]]),0)</f>
        <v>4</v>
      </c>
      <c r="T48" s="102">
        <v>0</v>
      </c>
      <c r="U48" s="103">
        <v>0</v>
      </c>
      <c r="V48" s="102">
        <f>IF(AND(Rencontres_N3_PN_Rx[[#This Row],[JA à nommer]]="oui",Rencontres_N3_PN_Rx[[#This Row],[Code_JA]]&lt;&gt;""),Rencontres_N3_PN_Rx[[#This Row],[Peages]]+(Rencontres_N3_PN_Rx[[#This Row],[KM_JA]]*0.3)+25,0)</f>
        <v>0</v>
      </c>
      <c r="X48" s="102">
        <f>IF(Rencontres_N3_PN_Rx[[#This Row],[defiscal]]="OUI",Rencontres_N3_PN_Rx[[#This Row],[Peages]]+(Rencontres_N3_PN_Rx[[#This Row],[KM_JA]]*0.3),0)</f>
        <v>0</v>
      </c>
    </row>
    <row r="49" spans="1:24" x14ac:dyDescent="0.25">
      <c r="A49" s="101">
        <v>48</v>
      </c>
      <c r="B49" s="100" t="s">
        <v>2541</v>
      </c>
      <c r="C49" s="104">
        <v>45927</v>
      </c>
      <c r="D49" s="100" t="s">
        <v>2542</v>
      </c>
      <c r="E49" s="106" t="s">
        <v>4129</v>
      </c>
      <c r="F49" s="100" t="s">
        <v>2544</v>
      </c>
      <c r="G49" s="100" t="s">
        <v>2544</v>
      </c>
      <c r="H49" s="100" t="s">
        <v>2545</v>
      </c>
      <c r="I49" s="100">
        <v>3</v>
      </c>
      <c r="J49" s="100">
        <v>1</v>
      </c>
      <c r="L49" s="100" t="s">
        <v>2718</v>
      </c>
      <c r="M49" s="100" t="s">
        <v>98</v>
      </c>
      <c r="N49" s="100" t="s">
        <v>2720</v>
      </c>
      <c r="O49" s="100" t="s">
        <v>2721</v>
      </c>
      <c r="P49" s="100">
        <v>50</v>
      </c>
      <c r="Q49" s="100" t="s">
        <v>139</v>
      </c>
      <c r="R49" s="100" t="str">
        <f>IFERROR(VLOOKUP(Rencontres_N3_PN_Rx[[#This Row],[Code_JA]],tab_JA[#All],3,FALSE)&amp;" "&amp;VLOOKUP(Rencontres_N3_PN_Rx[[#This Row],[Code_JA]],tab_JA[#All],4,FALSE),"")</f>
        <v>BASTIEN Romain</v>
      </c>
      <c r="S49" s="101">
        <f>IF(Rencontres_N3_PN_Rx[[#This Row],[Code_JA]]&lt;&gt;"",COUNTIF(Rencontres_N3_PN_Rx[Code_JA],Rencontres_N3_PN_Rx[[#This Row],[Code_JA]]),0)</f>
        <v>5</v>
      </c>
      <c r="T49" s="102">
        <v>0</v>
      </c>
      <c r="U49" s="103">
        <v>15</v>
      </c>
      <c r="V49" s="102">
        <f>IF(AND(Rencontres_N3_PN_Rx[[#This Row],[JA à nommer]]="oui",Rencontres_N3_PN_Rx[[#This Row],[Code_JA]]&lt;&gt;""),Rencontres_N3_PN_Rx[[#This Row],[Peages]]+(Rencontres_N3_PN_Rx[[#This Row],[KM_JA]]*0.3)+25,0)</f>
        <v>29.5</v>
      </c>
      <c r="X49" s="102">
        <f>IF(Rencontres_N3_PN_Rx[[#This Row],[defiscal]]="OUI",Rencontres_N3_PN_Rx[[#This Row],[Peages]]+(Rencontres_N3_PN_Rx[[#This Row],[KM_JA]]*0.3),0)</f>
        <v>0</v>
      </c>
    </row>
    <row r="50" spans="1:24" x14ac:dyDescent="0.25">
      <c r="A50" s="101">
        <v>49</v>
      </c>
      <c r="B50" s="100" t="s">
        <v>2658</v>
      </c>
      <c r="C50" s="104">
        <v>45928</v>
      </c>
      <c r="D50" s="100" t="s">
        <v>2659</v>
      </c>
      <c r="E50" s="106" t="s">
        <v>4129</v>
      </c>
      <c r="F50" s="100" t="s">
        <v>2543</v>
      </c>
      <c r="G50" s="100" t="s">
        <v>2566</v>
      </c>
      <c r="H50" s="100" t="s">
        <v>2581</v>
      </c>
      <c r="I50" s="100">
        <v>1</v>
      </c>
      <c r="J50" s="100">
        <v>1</v>
      </c>
      <c r="L50" s="100" t="s">
        <v>2718</v>
      </c>
      <c r="M50" s="100" t="s">
        <v>45</v>
      </c>
      <c r="N50" s="100" t="s">
        <v>2585</v>
      </c>
      <c r="O50" s="100" t="s">
        <v>2582</v>
      </c>
      <c r="P50" s="100">
        <v>50</v>
      </c>
      <c r="Q50" s="100" t="s">
        <v>1674</v>
      </c>
      <c r="R50" s="100" t="str">
        <f>IFERROR(VLOOKUP(Rencontres_N3_PN_Rx[[#This Row],[Code_JA]],tab_JA[#All],3,FALSE)&amp;" "&amp;VLOOKUP(Rencontres_N3_PN_Rx[[#This Row],[Code_JA]],tab_JA[#All],4,FALSE),"")</f>
        <v>LEMETAIS Yannick</v>
      </c>
      <c r="S50" s="101">
        <f>IF(Rencontres_N3_PN_Rx[[#This Row],[Code_JA]]&lt;&gt;"",COUNTIF(Rencontres_N3_PN_Rx[Code_JA],Rencontres_N3_PN_Rx[[#This Row],[Code_JA]]),0)</f>
        <v>2</v>
      </c>
      <c r="T50" s="102">
        <v>0</v>
      </c>
      <c r="U50" s="103">
        <v>25</v>
      </c>
      <c r="V50" s="102">
        <f>IF(AND(Rencontres_N3_PN_Rx[[#This Row],[JA à nommer]]="oui",Rencontres_N3_PN_Rx[[#This Row],[Code_JA]]&lt;&gt;""),Rencontres_N3_PN_Rx[[#This Row],[Peages]]+(Rencontres_N3_PN_Rx[[#This Row],[KM_JA]]*0.3)+25,0)</f>
        <v>32.5</v>
      </c>
      <c r="X50" s="102">
        <f>IF(Rencontres_N3_PN_Rx[[#This Row],[defiscal]]="OUI",Rencontres_N3_PN_Rx[[#This Row],[Peages]]+(Rencontres_N3_PN_Rx[[#This Row],[KM_JA]]*0.3),0)</f>
        <v>0</v>
      </c>
    </row>
    <row r="51" spans="1:24" x14ac:dyDescent="0.25">
      <c r="A51" s="101">
        <v>50</v>
      </c>
      <c r="B51" s="100" t="s">
        <v>2658</v>
      </c>
      <c r="C51" s="104">
        <v>45928</v>
      </c>
      <c r="D51" s="100" t="s">
        <v>2659</v>
      </c>
      <c r="E51" s="106" t="s">
        <v>4129</v>
      </c>
      <c r="F51" s="100" t="s">
        <v>2543</v>
      </c>
      <c r="G51" s="100" t="s">
        <v>2566</v>
      </c>
      <c r="H51" s="100" t="s">
        <v>2581</v>
      </c>
      <c r="I51" s="100">
        <v>2</v>
      </c>
      <c r="J51" s="100">
        <v>1</v>
      </c>
      <c r="L51" s="100" t="s">
        <v>2718</v>
      </c>
      <c r="M51" s="100" t="s">
        <v>1591</v>
      </c>
      <c r="N51" s="100" t="s">
        <v>2593</v>
      </c>
      <c r="O51" s="100" t="s">
        <v>2664</v>
      </c>
      <c r="P51" s="100">
        <v>50</v>
      </c>
      <c r="Q51" s="100" t="s">
        <v>1794</v>
      </c>
      <c r="R51" s="100" t="str">
        <f>IFERROR(VLOOKUP(Rencontres_N3_PN_Rx[[#This Row],[Code_JA]],tab_JA[#All],3,FALSE)&amp;" "&amp;VLOOKUP(Rencontres_N3_PN_Rx[[#This Row],[Code_JA]],tab_JA[#All],4,FALSE),"")</f>
        <v>LETENDRE Dominique</v>
      </c>
      <c r="S51" s="101">
        <f>IF(Rencontres_N3_PN_Rx[[#This Row],[Code_JA]]&lt;&gt;"",COUNTIF(Rencontres_N3_PN_Rx[Code_JA],Rencontres_N3_PN_Rx[[#This Row],[Code_JA]]),0)</f>
        <v>6</v>
      </c>
      <c r="T51" s="102">
        <v>0</v>
      </c>
      <c r="U51" s="103">
        <v>87</v>
      </c>
      <c r="V51" s="102">
        <f>IF(AND(Rencontres_N3_PN_Rx[[#This Row],[JA à nommer]]="oui",Rencontres_N3_PN_Rx[[#This Row],[Code_JA]]&lt;&gt;""),Rencontres_N3_PN_Rx[[#This Row],[Peages]]+(Rencontres_N3_PN_Rx[[#This Row],[KM_JA]]*0.3)+25,0)</f>
        <v>51.099999999999994</v>
      </c>
      <c r="X51" s="102">
        <f>IF(Rencontres_N3_PN_Rx[[#This Row],[defiscal]]="OUI",Rencontres_N3_PN_Rx[[#This Row],[Peages]]+(Rencontres_N3_PN_Rx[[#This Row],[KM_JA]]*0.3),0)</f>
        <v>0</v>
      </c>
    </row>
    <row r="52" spans="1:24" x14ac:dyDescent="0.25">
      <c r="A52" s="101">
        <v>51</v>
      </c>
      <c r="B52" s="100" t="s">
        <v>2541</v>
      </c>
      <c r="C52" s="104">
        <v>45941</v>
      </c>
      <c r="D52" s="100" t="s">
        <v>2542</v>
      </c>
      <c r="E52" s="106" t="s">
        <v>4129</v>
      </c>
      <c r="F52" s="100" t="s">
        <v>2543</v>
      </c>
      <c r="G52" s="100" t="s">
        <v>2566</v>
      </c>
      <c r="H52" s="100" t="s">
        <v>2557</v>
      </c>
      <c r="I52" s="100">
        <v>1</v>
      </c>
      <c r="J52" s="100">
        <v>1</v>
      </c>
      <c r="L52" s="100" t="s">
        <v>2729</v>
      </c>
      <c r="M52" s="100" t="s">
        <v>1179</v>
      </c>
      <c r="N52" s="100" t="s">
        <v>2568</v>
      </c>
      <c r="O52" s="100" t="s">
        <v>2570</v>
      </c>
      <c r="P52" s="100">
        <v>50</v>
      </c>
      <c r="Q52" s="100" t="s">
        <v>2434</v>
      </c>
      <c r="R52" s="100" t="str">
        <f>IFERROR(VLOOKUP(Rencontres_N3_PN_Rx[[#This Row],[Code_JA]],tab_JA[#All],3,FALSE)&amp;" "&amp;VLOOKUP(Rencontres_N3_PN_Rx[[#This Row],[Code_JA]],tab_JA[#All],4,FALSE),"")</f>
        <v>VASSE Agnes</v>
      </c>
      <c r="S52" s="101">
        <f>IF(Rencontres_N3_PN_Rx[[#This Row],[Code_JA]]&lt;&gt;"",COUNTIF(Rencontres_N3_PN_Rx[Code_JA],Rencontres_N3_PN_Rx[[#This Row],[Code_JA]]),0)</f>
        <v>6</v>
      </c>
      <c r="T52" s="102">
        <v>0</v>
      </c>
      <c r="U52" s="103">
        <v>12</v>
      </c>
      <c r="V52" s="102">
        <f>IF(AND(Rencontres_N3_PN_Rx[[#This Row],[JA à nommer]]="oui",Rencontres_N3_PN_Rx[[#This Row],[Code_JA]]&lt;&gt;""),Rencontres_N3_PN_Rx[[#This Row],[Peages]]+(Rencontres_N3_PN_Rx[[#This Row],[KM_JA]]*0.3)+25,0)</f>
        <v>28.6</v>
      </c>
      <c r="X52" s="102">
        <f>IF(Rencontres_N3_PN_Rx[[#This Row],[defiscal]]="OUI",Rencontres_N3_PN_Rx[[#This Row],[Peages]]+(Rencontres_N3_PN_Rx[[#This Row],[KM_JA]]*0.3),0)</f>
        <v>0</v>
      </c>
    </row>
    <row r="53" spans="1:24" x14ac:dyDescent="0.25">
      <c r="A53" s="101">
        <v>52</v>
      </c>
      <c r="B53" s="100" t="s">
        <v>2541</v>
      </c>
      <c r="C53" s="104">
        <v>45941</v>
      </c>
      <c r="D53" s="100" t="s">
        <v>2542</v>
      </c>
      <c r="E53" s="106" t="s">
        <v>4129</v>
      </c>
      <c r="F53" s="100" t="s">
        <v>2543</v>
      </c>
      <c r="G53" s="100" t="s">
        <v>2566</v>
      </c>
      <c r="H53" s="100" t="s">
        <v>2557</v>
      </c>
      <c r="I53" s="100">
        <v>2</v>
      </c>
      <c r="J53" s="100">
        <v>1</v>
      </c>
      <c r="L53" s="100" t="s">
        <v>2729</v>
      </c>
      <c r="M53" s="100" t="s">
        <v>478</v>
      </c>
      <c r="N53" s="100" t="s">
        <v>2577</v>
      </c>
      <c r="O53" s="100" t="s">
        <v>2580</v>
      </c>
      <c r="P53" s="100">
        <v>50</v>
      </c>
      <c r="Q53" s="100" t="s">
        <v>1150</v>
      </c>
      <c r="R53" s="100" t="str">
        <f>IFERROR(VLOOKUP(Rencontres_N3_PN_Rx[[#This Row],[Code_JA]],tab_JA[#All],3,FALSE)&amp;" "&amp;VLOOKUP(Rencontres_N3_PN_Rx[[#This Row],[Code_JA]],tab_JA[#All],4,FALSE),"")</f>
        <v>GOUTTE Dominique</v>
      </c>
      <c r="S53" s="101">
        <f>IF(Rencontres_N3_PN_Rx[[#This Row],[Code_JA]]&lt;&gt;"",COUNTIF(Rencontres_N3_PN_Rx[Code_JA],Rencontres_N3_PN_Rx[[#This Row],[Code_JA]]),0)</f>
        <v>12</v>
      </c>
      <c r="T53" s="102">
        <v>0</v>
      </c>
      <c r="U53" s="103">
        <v>102</v>
      </c>
      <c r="V53" s="102">
        <f>IF(AND(Rencontres_N3_PN_Rx[[#This Row],[JA à nommer]]="oui",Rencontres_N3_PN_Rx[[#This Row],[Code_JA]]&lt;&gt;""),Rencontres_N3_PN_Rx[[#This Row],[Peages]]+(Rencontres_N3_PN_Rx[[#This Row],[KM_JA]]*0.3)+25,0)</f>
        <v>55.599999999999994</v>
      </c>
      <c r="X53" s="102">
        <f>IF(Rencontres_N3_PN_Rx[[#This Row],[defiscal]]="OUI",Rencontres_N3_PN_Rx[[#This Row],[Peages]]+(Rencontres_N3_PN_Rx[[#This Row],[KM_JA]]*0.3),0)</f>
        <v>0</v>
      </c>
    </row>
    <row r="54" spans="1:24" x14ac:dyDescent="0.25">
      <c r="A54" s="101">
        <v>53</v>
      </c>
      <c r="B54" s="100" t="s">
        <v>2541</v>
      </c>
      <c r="C54" s="104">
        <v>45941</v>
      </c>
      <c r="D54" s="100" t="s">
        <v>2542</v>
      </c>
      <c r="E54" s="106" t="s">
        <v>4129</v>
      </c>
      <c r="F54" s="100" t="s">
        <v>2543</v>
      </c>
      <c r="G54" s="100" t="s">
        <v>2566</v>
      </c>
      <c r="H54" s="100" t="s">
        <v>2581</v>
      </c>
      <c r="I54" s="100">
        <v>1</v>
      </c>
      <c r="J54" s="100">
        <v>1</v>
      </c>
      <c r="L54" s="100" t="s">
        <v>2729</v>
      </c>
      <c r="M54" s="100" t="s">
        <v>173</v>
      </c>
      <c r="N54" s="100" t="s">
        <v>2582</v>
      </c>
      <c r="O54" s="100" t="s">
        <v>2587</v>
      </c>
      <c r="P54" s="100">
        <v>50</v>
      </c>
      <c r="Q54" s="100" t="s">
        <v>2197</v>
      </c>
      <c r="R54" s="100" t="str">
        <f>IFERROR(VLOOKUP(Rencontres_N3_PN_Rx[[#This Row],[Code_JA]],tab_JA[#All],3,FALSE)&amp;" "&amp;VLOOKUP(Rencontres_N3_PN_Rx[[#This Row],[Code_JA]],tab_JA[#All],4,FALSE),"")</f>
        <v>RELET Pascal</v>
      </c>
      <c r="S54" s="101">
        <f>IF(Rencontres_N3_PN_Rx[[#This Row],[Code_JA]]&lt;&gt;"",COUNTIF(Rencontres_N3_PN_Rx[Code_JA],Rencontres_N3_PN_Rx[[#This Row],[Code_JA]]),0)</f>
        <v>9</v>
      </c>
      <c r="T54" s="102">
        <v>0</v>
      </c>
      <c r="U54" s="103">
        <v>0</v>
      </c>
      <c r="V54" s="102">
        <f>IF(AND(Rencontres_N3_PN_Rx[[#This Row],[JA à nommer]]="oui",Rencontres_N3_PN_Rx[[#This Row],[Code_JA]]&lt;&gt;""),Rencontres_N3_PN_Rx[[#This Row],[Peages]]+(Rencontres_N3_PN_Rx[[#This Row],[KM_JA]]*0.3)+25,0)</f>
        <v>25</v>
      </c>
      <c r="X54" s="102">
        <f>IF(Rencontres_N3_PN_Rx[[#This Row],[defiscal]]="OUI",Rencontres_N3_PN_Rx[[#This Row],[Peages]]+(Rencontres_N3_PN_Rx[[#This Row],[KM_JA]]*0.3),0)</f>
        <v>0</v>
      </c>
    </row>
    <row r="55" spans="1:24" x14ac:dyDescent="0.25">
      <c r="A55" s="101">
        <v>54</v>
      </c>
      <c r="B55" s="100" t="s">
        <v>2541</v>
      </c>
      <c r="C55" s="104">
        <v>45941</v>
      </c>
      <c r="D55" s="100" t="s">
        <v>2542</v>
      </c>
      <c r="E55" s="106" t="s">
        <v>4129</v>
      </c>
      <c r="F55" s="100" t="s">
        <v>2543</v>
      </c>
      <c r="G55" s="100" t="s">
        <v>2566</v>
      </c>
      <c r="H55" s="100" t="s">
        <v>2581</v>
      </c>
      <c r="I55" s="100">
        <v>1</v>
      </c>
      <c r="J55" s="100">
        <v>1</v>
      </c>
      <c r="L55" s="100" t="s">
        <v>2729</v>
      </c>
      <c r="M55" s="100" t="s">
        <v>98</v>
      </c>
      <c r="N55" s="100" t="s">
        <v>2586</v>
      </c>
      <c r="O55" s="100" t="s">
        <v>2662</v>
      </c>
      <c r="P55" s="100">
        <v>50</v>
      </c>
      <c r="Q55" s="100" t="s">
        <v>139</v>
      </c>
      <c r="R55" s="100" t="str">
        <f>IFERROR(VLOOKUP(Rencontres_N3_PN_Rx[[#This Row],[Code_JA]],tab_JA[#All],3,FALSE)&amp;" "&amp;VLOOKUP(Rencontres_N3_PN_Rx[[#This Row],[Code_JA]],tab_JA[#All],4,FALSE),"")</f>
        <v>BASTIEN Romain</v>
      </c>
      <c r="S55" s="101">
        <f>IF(Rencontres_N3_PN_Rx[[#This Row],[Code_JA]]&lt;&gt;"",COUNTIF(Rencontres_N3_PN_Rx[Code_JA],Rencontres_N3_PN_Rx[[#This Row],[Code_JA]]),0)</f>
        <v>5</v>
      </c>
      <c r="T55" s="102">
        <v>0</v>
      </c>
      <c r="U55" s="103">
        <v>30</v>
      </c>
      <c r="V55" s="102">
        <f>IF(AND(Rencontres_N3_PN_Rx[[#This Row],[JA à nommer]]="oui",Rencontres_N3_PN_Rx[[#This Row],[Code_JA]]&lt;&gt;""),Rencontres_N3_PN_Rx[[#This Row],[Peages]]+(Rencontres_N3_PN_Rx[[#This Row],[KM_JA]]*0.3)+25,0)</f>
        <v>34</v>
      </c>
      <c r="X55" s="102">
        <f>IF(Rencontres_N3_PN_Rx[[#This Row],[defiscal]]="OUI",Rencontres_N3_PN_Rx[[#This Row],[Peages]]+(Rencontres_N3_PN_Rx[[#This Row],[KM_JA]]*0.3),0)</f>
        <v>0</v>
      </c>
    </row>
    <row r="56" spans="1:24" x14ac:dyDescent="0.25">
      <c r="A56" s="101">
        <v>55</v>
      </c>
      <c r="B56" s="100" t="s">
        <v>2541</v>
      </c>
      <c r="C56" s="104">
        <v>45941</v>
      </c>
      <c r="D56" s="100" t="s">
        <v>2542</v>
      </c>
      <c r="E56" s="106" t="s">
        <v>4129</v>
      </c>
      <c r="F56" s="100" t="s">
        <v>2543</v>
      </c>
      <c r="G56" s="100" t="s">
        <v>2566</v>
      </c>
      <c r="H56" s="100" t="s">
        <v>2581</v>
      </c>
      <c r="I56" s="100">
        <v>2</v>
      </c>
      <c r="J56" s="100">
        <v>1</v>
      </c>
      <c r="L56" s="100" t="s">
        <v>2729</v>
      </c>
      <c r="M56" s="100" t="s">
        <v>854</v>
      </c>
      <c r="N56" s="100" t="s">
        <v>2589</v>
      </c>
      <c r="O56" s="100" t="s">
        <v>2591</v>
      </c>
      <c r="P56" s="100">
        <v>50</v>
      </c>
      <c r="Q56" s="100" t="s">
        <v>3325</v>
      </c>
      <c r="R56" s="100" t="str">
        <f>IFERROR(VLOOKUP(Rencontres_N3_PN_Rx[[#This Row],[Code_JA]],tab_JA[#All],3,FALSE)&amp;" "&amp;VLOOKUP(Rencontres_N3_PN_Rx[[#This Row],[Code_JA]],tab_JA[#All],4,FALSE),"")</f>
        <v>LUCAS Stephanie</v>
      </c>
      <c r="S56" s="101">
        <f>IF(Rencontres_N3_PN_Rx[[#This Row],[Code_JA]]&lt;&gt;"",COUNTIF(Rencontres_N3_PN_Rx[Code_JA],Rencontres_N3_PN_Rx[[#This Row],[Code_JA]]),0)</f>
        <v>7</v>
      </c>
      <c r="T56" s="102">
        <v>0</v>
      </c>
      <c r="U56" s="103">
        <v>5.6</v>
      </c>
      <c r="V56" s="102">
        <f>IF(AND(Rencontres_N3_PN_Rx[[#This Row],[JA à nommer]]="oui",Rencontres_N3_PN_Rx[[#This Row],[Code_JA]]&lt;&gt;""),Rencontres_N3_PN_Rx[[#This Row],[Peages]]+(Rencontres_N3_PN_Rx[[#This Row],[KM_JA]]*0.3)+25,0)</f>
        <v>26.68</v>
      </c>
      <c r="X56" s="102">
        <f>IF(Rencontres_N3_PN_Rx[[#This Row],[defiscal]]="OUI",Rencontres_N3_PN_Rx[[#This Row],[Peages]]+(Rencontres_N3_PN_Rx[[#This Row],[KM_JA]]*0.3),0)</f>
        <v>0</v>
      </c>
    </row>
    <row r="57" spans="1:24" x14ac:dyDescent="0.25">
      <c r="A57" s="101">
        <v>56</v>
      </c>
      <c r="B57" s="100" t="s">
        <v>2541</v>
      </c>
      <c r="C57" s="104">
        <v>45941</v>
      </c>
      <c r="D57" s="100" t="s">
        <v>2542</v>
      </c>
      <c r="E57" s="106" t="s">
        <v>4129</v>
      </c>
      <c r="F57" s="100" t="s">
        <v>2543</v>
      </c>
      <c r="G57" s="100" t="s">
        <v>2566</v>
      </c>
      <c r="H57" s="100" t="s">
        <v>2600</v>
      </c>
      <c r="I57" s="100">
        <v>1</v>
      </c>
      <c r="J57" s="100">
        <v>1</v>
      </c>
      <c r="L57" s="100" t="s">
        <v>2729</v>
      </c>
      <c r="M57" s="100" t="s">
        <v>145</v>
      </c>
      <c r="N57" s="100" t="s">
        <v>2601</v>
      </c>
      <c r="O57" s="100" t="s">
        <v>2669</v>
      </c>
      <c r="P57" s="100">
        <v>50</v>
      </c>
      <c r="Q57" s="100" t="s">
        <v>1794</v>
      </c>
      <c r="R57" s="100" t="str">
        <f>IFERROR(VLOOKUP(Rencontres_N3_PN_Rx[[#This Row],[Code_JA]],tab_JA[#All],3,FALSE)&amp;" "&amp;VLOOKUP(Rencontres_N3_PN_Rx[[#This Row],[Code_JA]],tab_JA[#All],4,FALSE),"")</f>
        <v>LETENDRE Dominique</v>
      </c>
      <c r="S57" s="101">
        <f>IF(Rencontres_N3_PN_Rx[[#This Row],[Code_JA]]&lt;&gt;"",COUNTIF(Rencontres_N3_PN_Rx[Code_JA],Rencontres_N3_PN_Rx[[#This Row],[Code_JA]]),0)</f>
        <v>6</v>
      </c>
      <c r="T57" s="102">
        <v>0</v>
      </c>
      <c r="U57" s="103">
        <v>40</v>
      </c>
      <c r="V57" s="102">
        <f>IF(AND(Rencontres_N3_PN_Rx[[#This Row],[JA à nommer]]="oui",Rencontres_N3_PN_Rx[[#This Row],[Code_JA]]&lt;&gt;""),Rencontres_N3_PN_Rx[[#This Row],[Peages]]+(Rencontres_N3_PN_Rx[[#This Row],[KM_JA]]*0.3)+25,0)</f>
        <v>37</v>
      </c>
      <c r="X57" s="102">
        <f>IF(Rencontres_N3_PN_Rx[[#This Row],[defiscal]]="OUI",Rencontres_N3_PN_Rx[[#This Row],[Peages]]+(Rencontres_N3_PN_Rx[[#This Row],[KM_JA]]*0.3),0)</f>
        <v>0</v>
      </c>
    </row>
    <row r="58" spans="1:24" x14ac:dyDescent="0.25">
      <c r="A58" s="101">
        <v>57</v>
      </c>
      <c r="B58" s="100" t="s">
        <v>2541</v>
      </c>
      <c r="C58" s="104">
        <v>45941</v>
      </c>
      <c r="D58" s="100" t="s">
        <v>2542</v>
      </c>
      <c r="E58" s="106" t="s">
        <v>4128</v>
      </c>
      <c r="F58" s="100" t="s">
        <v>2543</v>
      </c>
      <c r="G58" s="100" t="s">
        <v>2566</v>
      </c>
      <c r="H58" s="100" t="s">
        <v>2600</v>
      </c>
      <c r="I58" s="100">
        <v>2</v>
      </c>
      <c r="J58" s="100">
        <v>1</v>
      </c>
      <c r="L58" s="100" t="s">
        <v>2729</v>
      </c>
      <c r="M58" s="100" t="s">
        <v>294</v>
      </c>
      <c r="N58" s="100" t="s">
        <v>2608</v>
      </c>
      <c r="O58" s="100" t="s">
        <v>2610</v>
      </c>
      <c r="P58" s="100">
        <v>50</v>
      </c>
      <c r="Q58" s="100" t="s">
        <v>3274</v>
      </c>
      <c r="R58" s="100" t="str">
        <f>IFERROR(VLOOKUP(Rencontres_N3_PN_Rx[[#This Row],[Code_JA]],tab_JA[#All],3,FALSE)&amp;" "&amp;VLOOKUP(Rencontres_N3_PN_Rx[[#This Row],[Code_JA]],tab_JA[#All],4,FALSE),"")</f>
        <v>CHOUBRAC Marie-Christine</v>
      </c>
      <c r="S58" s="101">
        <f>IF(Rencontres_N3_PN_Rx[[#This Row],[Code_JA]]&lt;&gt;"",COUNTIF(Rencontres_N3_PN_Rx[Code_JA],Rencontres_N3_PN_Rx[[#This Row],[Code_JA]]),0)</f>
        <v>4</v>
      </c>
      <c r="T58" s="102">
        <v>0</v>
      </c>
      <c r="U58" s="103">
        <v>0</v>
      </c>
      <c r="V58" s="102">
        <f>IF(AND(Rencontres_N3_PN_Rx[[#This Row],[JA à nommer]]="oui",Rencontres_N3_PN_Rx[[#This Row],[Code_JA]]&lt;&gt;""),Rencontres_N3_PN_Rx[[#This Row],[Peages]]+(Rencontres_N3_PN_Rx[[#This Row],[KM_JA]]*0.3)+25,0)</f>
        <v>0</v>
      </c>
      <c r="X58" s="102">
        <f>IF(Rencontres_N3_PN_Rx[[#This Row],[defiscal]]="OUI",Rencontres_N3_PN_Rx[[#This Row],[Peages]]+(Rencontres_N3_PN_Rx[[#This Row],[KM_JA]]*0.3),0)</f>
        <v>0</v>
      </c>
    </row>
    <row r="59" spans="1:24" x14ac:dyDescent="0.25">
      <c r="A59" s="101">
        <v>58</v>
      </c>
      <c r="B59" s="100" t="s">
        <v>2541</v>
      </c>
      <c r="C59" s="104">
        <v>45941</v>
      </c>
      <c r="D59" s="100" t="s">
        <v>2542</v>
      </c>
      <c r="E59" s="106" t="s">
        <v>4129</v>
      </c>
      <c r="F59" s="100" t="s">
        <v>2543</v>
      </c>
      <c r="G59" s="100" t="s">
        <v>2566</v>
      </c>
      <c r="H59" s="100" t="s">
        <v>2600</v>
      </c>
      <c r="I59" s="100">
        <v>3</v>
      </c>
      <c r="J59" s="100">
        <v>1</v>
      </c>
      <c r="L59" s="100" t="s">
        <v>2729</v>
      </c>
      <c r="M59" s="100" t="s">
        <v>173</v>
      </c>
      <c r="N59" s="100" t="s">
        <v>2615</v>
      </c>
      <c r="O59" s="100" t="s">
        <v>2620</v>
      </c>
      <c r="P59" s="100">
        <v>50</v>
      </c>
      <c r="Q59" s="100" t="s">
        <v>2197</v>
      </c>
      <c r="R59" s="100" t="str">
        <f>IFERROR(VLOOKUP(Rencontres_N3_PN_Rx[[#This Row],[Code_JA]],tab_JA[#All],3,FALSE)&amp;" "&amp;VLOOKUP(Rencontres_N3_PN_Rx[[#This Row],[Code_JA]],tab_JA[#All],4,FALSE),"")</f>
        <v>RELET Pascal</v>
      </c>
      <c r="S59" s="101">
        <f>IF(Rencontres_N3_PN_Rx[[#This Row],[Code_JA]]&lt;&gt;"",COUNTIF(Rencontres_N3_PN_Rx[Code_JA],Rencontres_N3_PN_Rx[[#This Row],[Code_JA]]),0)</f>
        <v>9</v>
      </c>
      <c r="T59" s="102">
        <v>0</v>
      </c>
      <c r="U59" s="103">
        <v>0</v>
      </c>
      <c r="V59" s="102">
        <f>IF(AND(Rencontres_N3_PN_Rx[[#This Row],[JA à nommer]]="oui",Rencontres_N3_PN_Rx[[#This Row],[Code_JA]]&lt;&gt;""),Rencontres_N3_PN_Rx[[#This Row],[Peages]]+(Rencontres_N3_PN_Rx[[#This Row],[KM_JA]]*0.3)+25,0)</f>
        <v>25</v>
      </c>
      <c r="X59" s="102">
        <f>IF(Rencontres_N3_PN_Rx[[#This Row],[defiscal]]="OUI",Rencontres_N3_PN_Rx[[#This Row],[Peages]]+(Rencontres_N3_PN_Rx[[#This Row],[KM_JA]]*0.3),0)</f>
        <v>0</v>
      </c>
    </row>
    <row r="60" spans="1:24" x14ac:dyDescent="0.25">
      <c r="A60" s="101">
        <v>59</v>
      </c>
      <c r="B60" s="100" t="s">
        <v>2541</v>
      </c>
      <c r="C60" s="104">
        <v>45941</v>
      </c>
      <c r="D60" s="100" t="s">
        <v>2542</v>
      </c>
      <c r="E60" s="106" t="s">
        <v>4128</v>
      </c>
      <c r="F60" s="100" t="s">
        <v>2543</v>
      </c>
      <c r="G60" s="100" t="s">
        <v>2566</v>
      </c>
      <c r="H60" s="100" t="s">
        <v>2600</v>
      </c>
      <c r="I60" s="100">
        <v>3</v>
      </c>
      <c r="J60" s="100">
        <v>1</v>
      </c>
      <c r="L60" s="100" t="s">
        <v>2729</v>
      </c>
      <c r="M60" s="100" t="s">
        <v>1179</v>
      </c>
      <c r="N60" s="100" t="s">
        <v>2616</v>
      </c>
      <c r="O60" s="100" t="s">
        <v>2618</v>
      </c>
      <c r="P60" s="100">
        <v>50</v>
      </c>
      <c r="Q60" s="100" t="s">
        <v>2552</v>
      </c>
      <c r="R60" s="100" t="str">
        <f>IFERROR(VLOOKUP(Rencontres_N3_PN_Rx[[#This Row],[Code_JA]],tab_JA[#All],3,FALSE)&amp;" "&amp;VLOOKUP(Rencontres_N3_PN_Rx[[#This Row],[Code_JA]],tab_JA[#All],4,FALSE),"")</f>
        <v/>
      </c>
      <c r="S60" s="101">
        <f>IF(Rencontres_N3_PN_Rx[[#This Row],[Code_JA]]&lt;&gt;"",COUNTIF(Rencontres_N3_PN_Rx[Code_JA],Rencontres_N3_PN_Rx[[#This Row],[Code_JA]]),0)</f>
        <v>0</v>
      </c>
      <c r="T60" s="102">
        <v>0</v>
      </c>
      <c r="U60" s="103">
        <v>0</v>
      </c>
      <c r="V60" s="102">
        <f>IF(AND(Rencontres_N3_PN_Rx[[#This Row],[JA à nommer]]="oui",Rencontres_N3_PN_Rx[[#This Row],[Code_JA]]&lt;&gt;""),Rencontres_N3_PN_Rx[[#This Row],[Peages]]+(Rencontres_N3_PN_Rx[[#This Row],[KM_JA]]*0.3)+25,0)</f>
        <v>0</v>
      </c>
      <c r="X60" s="102">
        <f>IF(Rencontres_N3_PN_Rx[[#This Row],[defiscal]]="OUI",Rencontres_N3_PN_Rx[[#This Row],[Peages]]+(Rencontres_N3_PN_Rx[[#This Row],[KM_JA]]*0.3),0)</f>
        <v>0</v>
      </c>
    </row>
    <row r="61" spans="1:24" x14ac:dyDescent="0.25">
      <c r="A61" s="101">
        <v>60</v>
      </c>
      <c r="B61" s="100" t="s">
        <v>2541</v>
      </c>
      <c r="C61" s="104">
        <v>45941</v>
      </c>
      <c r="D61" s="100" t="s">
        <v>2542</v>
      </c>
      <c r="E61" s="106" t="s">
        <v>4128</v>
      </c>
      <c r="F61" s="100" t="s">
        <v>2543</v>
      </c>
      <c r="G61" s="100" t="s">
        <v>2566</v>
      </c>
      <c r="H61" s="100" t="s">
        <v>2600</v>
      </c>
      <c r="I61" s="100">
        <v>4</v>
      </c>
      <c r="J61" s="100">
        <v>1</v>
      </c>
      <c r="L61" s="100" t="s">
        <v>2729</v>
      </c>
      <c r="M61" s="100" t="s">
        <v>98</v>
      </c>
      <c r="N61" s="100" t="s">
        <v>2627</v>
      </c>
      <c r="O61" s="100" t="s">
        <v>2629</v>
      </c>
      <c r="P61" s="100">
        <v>50</v>
      </c>
      <c r="Q61" s="100" t="s">
        <v>1181</v>
      </c>
      <c r="R61" s="100" t="str">
        <f>IFERROR(VLOOKUP(Rencontres_N3_PN_Rx[[#This Row],[Code_JA]],tab_JA[#All],3,FALSE)&amp;" "&amp;VLOOKUP(Rencontres_N3_PN_Rx[[#This Row],[Code_JA]],tab_JA[#All],4,FALSE),"")</f>
        <v>GUILLARD Yannick</v>
      </c>
      <c r="S61" s="101">
        <f>IF(Rencontres_N3_PN_Rx[[#This Row],[Code_JA]]&lt;&gt;"",COUNTIF(Rencontres_N3_PN_Rx[Code_JA],Rencontres_N3_PN_Rx[[#This Row],[Code_JA]]),0)</f>
        <v>3</v>
      </c>
      <c r="T61" s="102">
        <v>0</v>
      </c>
      <c r="U61" s="103">
        <v>0</v>
      </c>
      <c r="V61" s="102">
        <f>IF(AND(Rencontres_N3_PN_Rx[[#This Row],[JA à nommer]]="oui",Rencontres_N3_PN_Rx[[#This Row],[Code_JA]]&lt;&gt;""),Rencontres_N3_PN_Rx[[#This Row],[Peages]]+(Rencontres_N3_PN_Rx[[#This Row],[KM_JA]]*0.3)+25,0)</f>
        <v>0</v>
      </c>
      <c r="X61" s="102">
        <f>IF(Rencontres_N3_PN_Rx[[#This Row],[defiscal]]="OUI",Rencontres_N3_PN_Rx[[#This Row],[Peages]]+(Rencontres_N3_PN_Rx[[#This Row],[KM_JA]]*0.3),0)</f>
        <v>0</v>
      </c>
    </row>
    <row r="62" spans="1:24" x14ac:dyDescent="0.25">
      <c r="A62" s="101">
        <v>61</v>
      </c>
      <c r="B62" s="100" t="s">
        <v>2541</v>
      </c>
      <c r="C62" s="104">
        <v>45941</v>
      </c>
      <c r="D62" s="100" t="s">
        <v>2542</v>
      </c>
      <c r="E62" s="106" t="s">
        <v>4128</v>
      </c>
      <c r="F62" s="100" t="s">
        <v>2543</v>
      </c>
      <c r="G62" s="100" t="s">
        <v>2566</v>
      </c>
      <c r="H62" s="100" t="s">
        <v>2631</v>
      </c>
      <c r="I62" s="100">
        <v>1</v>
      </c>
      <c r="J62" s="100">
        <v>1</v>
      </c>
      <c r="L62" s="100" t="s">
        <v>2729</v>
      </c>
      <c r="M62" s="100" t="s">
        <v>1364</v>
      </c>
      <c r="N62" s="100" t="s">
        <v>2633</v>
      </c>
      <c r="O62" s="100" t="s">
        <v>2671</v>
      </c>
      <c r="P62" s="100">
        <v>50</v>
      </c>
      <c r="Q62" s="100" t="s">
        <v>3296</v>
      </c>
      <c r="R62" s="100" t="str">
        <f>IFERROR(VLOOKUP(Rencontres_N3_PN_Rx[[#This Row],[Code_JA]],tab_JA[#All],3,FALSE)&amp;" "&amp;VLOOKUP(Rencontres_N3_PN_Rx[[#This Row],[Code_JA]],tab_JA[#All],4,FALSE),"")</f>
        <v>JOUIN JEHAN Corentin</v>
      </c>
      <c r="S62" s="101">
        <f>IF(Rencontres_N3_PN_Rx[[#This Row],[Code_JA]]&lt;&gt;"",COUNTIF(Rencontres_N3_PN_Rx[Code_JA],Rencontres_N3_PN_Rx[[#This Row],[Code_JA]]),0)</f>
        <v>9</v>
      </c>
      <c r="T62" s="102">
        <v>0</v>
      </c>
      <c r="U62" s="103">
        <v>0</v>
      </c>
      <c r="V62" s="102">
        <f>IF(AND(Rencontres_N3_PN_Rx[[#This Row],[JA à nommer]]="oui",Rencontres_N3_PN_Rx[[#This Row],[Code_JA]]&lt;&gt;""),Rencontres_N3_PN_Rx[[#This Row],[Peages]]+(Rencontres_N3_PN_Rx[[#This Row],[KM_JA]]*0.3)+25,0)</f>
        <v>0</v>
      </c>
      <c r="X62" s="102">
        <f>IF(Rencontres_N3_PN_Rx[[#This Row],[defiscal]]="OUI",Rencontres_N3_PN_Rx[[#This Row],[Peages]]+(Rencontres_N3_PN_Rx[[#This Row],[KM_JA]]*0.3),0)</f>
        <v>0</v>
      </c>
    </row>
    <row r="63" spans="1:24" x14ac:dyDescent="0.25">
      <c r="A63" s="101">
        <v>62</v>
      </c>
      <c r="B63" s="100" t="s">
        <v>2541</v>
      </c>
      <c r="C63" s="104">
        <v>45941</v>
      </c>
      <c r="D63" s="100" t="s">
        <v>2542</v>
      </c>
      <c r="E63" s="106" t="s">
        <v>4128</v>
      </c>
      <c r="F63" s="100" t="s">
        <v>2543</v>
      </c>
      <c r="G63" s="100" t="s">
        <v>2566</v>
      </c>
      <c r="H63" s="100" t="s">
        <v>2631</v>
      </c>
      <c r="I63" s="100">
        <v>2</v>
      </c>
      <c r="J63" s="100">
        <v>1</v>
      </c>
      <c r="L63" s="100" t="s">
        <v>2729</v>
      </c>
      <c r="M63" s="100" t="s">
        <v>813</v>
      </c>
      <c r="N63" s="100" t="s">
        <v>2638</v>
      </c>
      <c r="O63" s="100" t="s">
        <v>2643</v>
      </c>
      <c r="P63" s="100">
        <v>50</v>
      </c>
      <c r="Q63" s="100" t="s">
        <v>805</v>
      </c>
      <c r="R63" s="100" t="str">
        <f>IFERROR(VLOOKUP(Rencontres_N3_PN_Rx[[#This Row],[Code_JA]],tab_JA[#All],3,FALSE)&amp;" "&amp;VLOOKUP(Rencontres_N3_PN_Rx[[#This Row],[Code_JA]],tab_JA[#All],4,FALSE),"")</f>
        <v>DELEURME Stephane</v>
      </c>
      <c r="S63" s="101">
        <f>IF(Rencontres_N3_PN_Rx[[#This Row],[Code_JA]]&lt;&gt;"",COUNTIF(Rencontres_N3_PN_Rx[Code_JA],Rencontres_N3_PN_Rx[[#This Row],[Code_JA]]),0)</f>
        <v>3</v>
      </c>
      <c r="T63" s="102">
        <v>0</v>
      </c>
      <c r="U63" s="103">
        <v>0</v>
      </c>
      <c r="V63" s="102">
        <f>IF(AND(Rencontres_N3_PN_Rx[[#This Row],[JA à nommer]]="oui",Rencontres_N3_PN_Rx[[#This Row],[Code_JA]]&lt;&gt;""),Rencontres_N3_PN_Rx[[#This Row],[Peages]]+(Rencontres_N3_PN_Rx[[#This Row],[KM_JA]]*0.3)+25,0)</f>
        <v>0</v>
      </c>
      <c r="X63" s="102">
        <f>IF(Rencontres_N3_PN_Rx[[#This Row],[defiscal]]="OUI",Rencontres_N3_PN_Rx[[#This Row],[Peages]]+(Rencontres_N3_PN_Rx[[#This Row],[KM_JA]]*0.3),0)</f>
        <v>0</v>
      </c>
    </row>
    <row r="64" spans="1:24" x14ac:dyDescent="0.25">
      <c r="A64" s="101">
        <v>63</v>
      </c>
      <c r="B64" s="100" t="s">
        <v>2541</v>
      </c>
      <c r="C64" s="104">
        <v>45941</v>
      </c>
      <c r="D64" s="100" t="s">
        <v>2542</v>
      </c>
      <c r="E64" s="106" t="s">
        <v>4128</v>
      </c>
      <c r="F64" s="100" t="s">
        <v>2543</v>
      </c>
      <c r="G64" s="100" t="s">
        <v>2566</v>
      </c>
      <c r="H64" s="100" t="s">
        <v>2631</v>
      </c>
      <c r="I64" s="100">
        <v>2</v>
      </c>
      <c r="J64" s="100">
        <v>1</v>
      </c>
      <c r="L64" s="100" t="s">
        <v>2729</v>
      </c>
      <c r="M64" s="100" t="s">
        <v>294</v>
      </c>
      <c r="N64" s="100" t="s">
        <v>2673</v>
      </c>
      <c r="O64" s="100" t="s">
        <v>2639</v>
      </c>
      <c r="P64" s="100">
        <v>50</v>
      </c>
      <c r="Q64" s="100" t="s">
        <v>3274</v>
      </c>
      <c r="R64" s="100" t="str">
        <f>IFERROR(VLOOKUP(Rencontres_N3_PN_Rx[[#This Row],[Code_JA]],tab_JA[#All],3,FALSE)&amp;" "&amp;VLOOKUP(Rencontres_N3_PN_Rx[[#This Row],[Code_JA]],tab_JA[#All],4,FALSE),"")</f>
        <v>CHOUBRAC Marie-Christine</v>
      </c>
      <c r="S64" s="101">
        <f>IF(Rencontres_N3_PN_Rx[[#This Row],[Code_JA]]&lt;&gt;"",COUNTIF(Rencontres_N3_PN_Rx[Code_JA],Rencontres_N3_PN_Rx[[#This Row],[Code_JA]]),0)</f>
        <v>4</v>
      </c>
      <c r="T64" s="102">
        <v>0</v>
      </c>
      <c r="U64" s="103">
        <v>0</v>
      </c>
      <c r="V64" s="102">
        <f>IF(AND(Rencontres_N3_PN_Rx[[#This Row],[JA à nommer]]="oui",Rencontres_N3_PN_Rx[[#This Row],[Code_JA]]&lt;&gt;""),Rencontres_N3_PN_Rx[[#This Row],[Peages]]+(Rencontres_N3_PN_Rx[[#This Row],[KM_JA]]*0.3)+25,0)</f>
        <v>0</v>
      </c>
      <c r="X64" s="102">
        <f>IF(Rencontres_N3_PN_Rx[[#This Row],[defiscal]]="OUI",Rencontres_N3_PN_Rx[[#This Row],[Peages]]+(Rencontres_N3_PN_Rx[[#This Row],[KM_JA]]*0.3),0)</f>
        <v>0</v>
      </c>
    </row>
    <row r="65" spans="1:24" x14ac:dyDescent="0.25">
      <c r="A65" s="101">
        <v>64</v>
      </c>
      <c r="B65" s="100" t="s">
        <v>2541</v>
      </c>
      <c r="C65" s="104">
        <v>45941</v>
      </c>
      <c r="D65" s="100" t="s">
        <v>2542</v>
      </c>
      <c r="E65" s="106" t="s">
        <v>4129</v>
      </c>
      <c r="F65" s="100" t="s">
        <v>2543</v>
      </c>
      <c r="G65" s="100" t="s">
        <v>2566</v>
      </c>
      <c r="H65" s="100" t="s">
        <v>2631</v>
      </c>
      <c r="I65" s="100">
        <v>3</v>
      </c>
      <c r="J65" s="100">
        <v>1</v>
      </c>
      <c r="L65" s="100" t="s">
        <v>2729</v>
      </c>
      <c r="M65" s="100" t="s">
        <v>1682</v>
      </c>
      <c r="N65" s="100" t="s">
        <v>2644</v>
      </c>
      <c r="O65" s="100" t="s">
        <v>2675</v>
      </c>
      <c r="P65" s="100">
        <v>50</v>
      </c>
      <c r="Q65" s="100" t="s">
        <v>2395</v>
      </c>
      <c r="R65" s="100" t="str">
        <f>IFERROR(VLOOKUP(Rencontres_N3_PN_Rx[[#This Row],[Code_JA]],tab_JA[#All],3,FALSE)&amp;" "&amp;VLOOKUP(Rencontres_N3_PN_Rx[[#This Row],[Code_JA]],tab_JA[#All],4,FALSE),"")</f>
        <v>TRAVES Annie</v>
      </c>
      <c r="S65" s="101">
        <f>IF(Rencontres_N3_PN_Rx[[#This Row],[Code_JA]]&lt;&gt;"",COUNTIF(Rencontres_N3_PN_Rx[Code_JA],Rencontres_N3_PN_Rx[[#This Row],[Code_JA]]),0)</f>
        <v>7</v>
      </c>
      <c r="T65" s="102">
        <v>0</v>
      </c>
      <c r="U65" s="103">
        <v>42</v>
      </c>
      <c r="V65" s="102">
        <f>IF(AND(Rencontres_N3_PN_Rx[[#This Row],[JA à nommer]]="oui",Rencontres_N3_PN_Rx[[#This Row],[Code_JA]]&lt;&gt;""),Rencontres_N3_PN_Rx[[#This Row],[Peages]]+(Rencontres_N3_PN_Rx[[#This Row],[KM_JA]]*0.3)+25,0)</f>
        <v>37.6</v>
      </c>
      <c r="X65" s="102">
        <f>IF(Rencontres_N3_PN_Rx[[#This Row],[defiscal]]="OUI",Rencontres_N3_PN_Rx[[#This Row],[Peages]]+(Rencontres_N3_PN_Rx[[#This Row],[KM_JA]]*0.3),0)</f>
        <v>0</v>
      </c>
    </row>
    <row r="66" spans="1:24" x14ac:dyDescent="0.25">
      <c r="A66" s="101">
        <v>65</v>
      </c>
      <c r="B66" s="100" t="s">
        <v>2541</v>
      </c>
      <c r="C66" s="104">
        <v>45941</v>
      </c>
      <c r="D66" s="100" t="s">
        <v>2542</v>
      </c>
      <c r="E66" s="106" t="s">
        <v>4128</v>
      </c>
      <c r="F66" s="100" t="s">
        <v>2543</v>
      </c>
      <c r="G66" s="100" t="s">
        <v>2566</v>
      </c>
      <c r="H66" s="100" t="s">
        <v>2631</v>
      </c>
      <c r="I66" s="100">
        <v>4</v>
      </c>
      <c r="J66" s="100">
        <v>1</v>
      </c>
      <c r="L66" s="100" t="s">
        <v>2729</v>
      </c>
      <c r="M66" s="100" t="s">
        <v>854</v>
      </c>
      <c r="N66" s="100" t="s">
        <v>2651</v>
      </c>
      <c r="O66" s="100" t="s">
        <v>2653</v>
      </c>
      <c r="P66" s="100">
        <v>50</v>
      </c>
      <c r="Q66" s="100" t="s">
        <v>3281</v>
      </c>
      <c r="R66" s="100" t="str">
        <f>IFERROR(VLOOKUP(Rencontres_N3_PN_Rx[[#This Row],[Code_JA]],tab_JA[#All],3,FALSE)&amp;" "&amp;VLOOKUP(Rencontres_N3_PN_Rx[[#This Row],[Code_JA]],tab_JA[#All],4,FALSE),"")</f>
        <v>DESCHAMPS Jean-Marc</v>
      </c>
      <c r="S66" s="101">
        <f>IF(Rencontres_N3_PN_Rx[[#This Row],[Code_JA]]&lt;&gt;"",COUNTIF(Rencontres_N3_PN_Rx[Code_JA],Rencontres_N3_PN_Rx[[#This Row],[Code_JA]]),0)</f>
        <v>4</v>
      </c>
      <c r="T66" s="102">
        <v>0</v>
      </c>
      <c r="U66" s="103">
        <v>0</v>
      </c>
      <c r="V66" s="102">
        <f>IF(AND(Rencontres_N3_PN_Rx[[#This Row],[JA à nommer]]="oui",Rencontres_N3_PN_Rx[[#This Row],[Code_JA]]&lt;&gt;""),Rencontres_N3_PN_Rx[[#This Row],[Peages]]+(Rencontres_N3_PN_Rx[[#This Row],[KM_JA]]*0.3)+25,0)</f>
        <v>0</v>
      </c>
      <c r="X66" s="102">
        <f>IF(Rencontres_N3_PN_Rx[[#This Row],[defiscal]]="OUI",Rencontres_N3_PN_Rx[[#This Row],[Peages]]+(Rencontres_N3_PN_Rx[[#This Row],[KM_JA]]*0.3),0)</f>
        <v>0</v>
      </c>
    </row>
    <row r="67" spans="1:24" x14ac:dyDescent="0.25">
      <c r="A67" s="101">
        <v>66</v>
      </c>
      <c r="B67" s="100" t="s">
        <v>2541</v>
      </c>
      <c r="C67" s="104">
        <v>45941</v>
      </c>
      <c r="D67" s="100" t="s">
        <v>2542</v>
      </c>
      <c r="E67" s="106" t="s">
        <v>4129</v>
      </c>
      <c r="F67" s="100" t="s">
        <v>2543</v>
      </c>
      <c r="G67" s="100" t="s">
        <v>2544</v>
      </c>
      <c r="H67" s="100" t="s">
        <v>2549</v>
      </c>
      <c r="I67" s="100">
        <v>8</v>
      </c>
      <c r="J67" s="100">
        <v>1</v>
      </c>
      <c r="L67" s="100" t="s">
        <v>2729</v>
      </c>
      <c r="M67" s="100" t="s">
        <v>478</v>
      </c>
      <c r="N67" s="100" t="s">
        <v>2550</v>
      </c>
      <c r="O67" s="100" t="s">
        <v>2730</v>
      </c>
      <c r="P67" s="100">
        <v>50</v>
      </c>
      <c r="Q67" s="100" t="s">
        <v>1150</v>
      </c>
      <c r="R67" s="100" t="str">
        <f>IFERROR(VLOOKUP(Rencontres_N3_PN_Rx[[#This Row],[Code_JA]],tab_JA[#All],3,FALSE)&amp;" "&amp;VLOOKUP(Rencontres_N3_PN_Rx[[#This Row],[Code_JA]],tab_JA[#All],4,FALSE),"")</f>
        <v>GOUTTE Dominique</v>
      </c>
      <c r="S67" s="101">
        <f>IF(Rencontres_N3_PN_Rx[[#This Row],[Code_JA]]&lt;&gt;"",COUNTIF(Rencontres_N3_PN_Rx[Code_JA],Rencontres_N3_PN_Rx[[#This Row],[Code_JA]]),0)</f>
        <v>12</v>
      </c>
      <c r="T67" s="102">
        <v>0</v>
      </c>
      <c r="U67" s="103">
        <v>102</v>
      </c>
      <c r="V67" s="102">
        <f>IF(AND(Rencontres_N3_PN_Rx[[#This Row],[JA à nommer]]="oui",Rencontres_N3_PN_Rx[[#This Row],[Code_JA]]&lt;&gt;""),Rencontres_N3_PN_Rx[[#This Row],[Peages]]+(Rencontres_N3_PN_Rx[[#This Row],[KM_JA]]*0.3)+25,0)</f>
        <v>55.599999999999994</v>
      </c>
      <c r="X67" s="102">
        <f>IF(Rencontres_N3_PN_Rx[[#This Row],[defiscal]]="OUI",Rencontres_N3_PN_Rx[[#This Row],[Peages]]+(Rencontres_N3_PN_Rx[[#This Row],[KM_JA]]*0.3),0)</f>
        <v>0</v>
      </c>
    </row>
    <row r="68" spans="1:24" x14ac:dyDescent="0.25">
      <c r="A68" s="101">
        <v>67</v>
      </c>
      <c r="B68" s="100" t="s">
        <v>2658</v>
      </c>
      <c r="C68" s="104">
        <v>45942</v>
      </c>
      <c r="D68" s="100" t="s">
        <v>2659</v>
      </c>
      <c r="E68" s="106" t="s">
        <v>4129</v>
      </c>
      <c r="F68" s="100" t="s">
        <v>2543</v>
      </c>
      <c r="G68" s="100" t="s">
        <v>2566</v>
      </c>
      <c r="H68" s="100" t="s">
        <v>2557</v>
      </c>
      <c r="I68" s="100">
        <v>2</v>
      </c>
      <c r="J68" s="100">
        <v>1</v>
      </c>
      <c r="L68" s="100" t="s">
        <v>2729</v>
      </c>
      <c r="M68" s="100" t="s">
        <v>734</v>
      </c>
      <c r="N68" s="100" t="s">
        <v>2660</v>
      </c>
      <c r="O68" s="100" t="s">
        <v>2579</v>
      </c>
      <c r="P68" s="100">
        <v>50</v>
      </c>
      <c r="Q68" s="100" t="s">
        <v>2254</v>
      </c>
      <c r="R68" s="100" t="str">
        <f>IFERROR(VLOOKUP(Rencontres_N3_PN_Rx[[#This Row],[Code_JA]],tab_JA[#All],3,FALSE)&amp;" "&amp;VLOOKUP(Rencontres_N3_PN_Rx[[#This Row],[Code_JA]],tab_JA[#All],4,FALSE),"")</f>
        <v>ROUAULT Pierrick</v>
      </c>
      <c r="S68" s="101">
        <f>IF(Rencontres_N3_PN_Rx[[#This Row],[Code_JA]]&lt;&gt;"",COUNTIF(Rencontres_N3_PN_Rx[Code_JA],Rencontres_N3_PN_Rx[[#This Row],[Code_JA]]),0)</f>
        <v>4</v>
      </c>
      <c r="T68" s="102">
        <v>0</v>
      </c>
      <c r="U68" s="103">
        <v>20</v>
      </c>
      <c r="V68" s="102">
        <f>IF(AND(Rencontres_N3_PN_Rx[[#This Row],[JA à nommer]]="oui",Rencontres_N3_PN_Rx[[#This Row],[Code_JA]]&lt;&gt;""),Rencontres_N3_PN_Rx[[#This Row],[Peages]]+(Rencontres_N3_PN_Rx[[#This Row],[KM_JA]]*0.3)+25,0)</f>
        <v>31</v>
      </c>
      <c r="X68" s="102">
        <f>IF(Rencontres_N3_PN_Rx[[#This Row],[defiscal]]="OUI",Rencontres_N3_PN_Rx[[#This Row],[Peages]]+(Rencontres_N3_PN_Rx[[#This Row],[KM_JA]]*0.3),0)</f>
        <v>0</v>
      </c>
    </row>
    <row r="69" spans="1:24" x14ac:dyDescent="0.25">
      <c r="A69" s="101">
        <v>68</v>
      </c>
      <c r="B69" s="100" t="s">
        <v>2658</v>
      </c>
      <c r="C69" s="104">
        <v>45942</v>
      </c>
      <c r="D69" s="100" t="s">
        <v>2659</v>
      </c>
      <c r="E69" s="106" t="s">
        <v>4129</v>
      </c>
      <c r="F69" s="100" t="s">
        <v>2543</v>
      </c>
      <c r="G69" s="100" t="s">
        <v>2566</v>
      </c>
      <c r="H69" s="100" t="s">
        <v>2581</v>
      </c>
      <c r="I69" s="100">
        <v>3</v>
      </c>
      <c r="J69" s="100">
        <v>1</v>
      </c>
      <c r="L69" s="100" t="s">
        <v>2729</v>
      </c>
      <c r="M69" s="100" t="s">
        <v>478</v>
      </c>
      <c r="N69" s="100" t="s">
        <v>2666</v>
      </c>
      <c r="O69" s="100" t="s">
        <v>2599</v>
      </c>
      <c r="P69" s="100">
        <v>50</v>
      </c>
      <c r="Q69" s="100" t="s">
        <v>2488</v>
      </c>
      <c r="R69" s="100" t="str">
        <f>IFERROR(VLOOKUP(Rencontres_N3_PN_Rx[[#This Row],[Code_JA]],tab_JA[#All],3,FALSE)&amp;" "&amp;VLOOKUP(Rencontres_N3_PN_Rx[[#This Row],[Code_JA]],tab_JA[#All],4,FALSE),"")</f>
        <v>YREUX Antoine</v>
      </c>
      <c r="S69" s="101">
        <f>IF(Rencontres_N3_PN_Rx[[#This Row],[Code_JA]]&lt;&gt;"",COUNTIF(Rencontres_N3_PN_Rx[Code_JA],Rencontres_N3_PN_Rx[[#This Row],[Code_JA]]),0)</f>
        <v>1</v>
      </c>
      <c r="T69" s="102">
        <v>0</v>
      </c>
      <c r="U69" s="103">
        <v>36</v>
      </c>
      <c r="V69" s="102">
        <f>IF(AND(Rencontres_N3_PN_Rx[[#This Row],[JA à nommer]]="oui",Rencontres_N3_PN_Rx[[#This Row],[Code_JA]]&lt;&gt;""),Rencontres_N3_PN_Rx[[#This Row],[Peages]]+(Rencontres_N3_PN_Rx[[#This Row],[KM_JA]]*0.3)+25,0)</f>
        <v>35.799999999999997</v>
      </c>
      <c r="X69" s="102">
        <f>IF(Rencontres_N3_PN_Rx[[#This Row],[defiscal]]="OUI",Rencontres_N3_PN_Rx[[#This Row],[Peages]]+(Rencontres_N3_PN_Rx[[#This Row],[KM_JA]]*0.3),0)</f>
        <v>0</v>
      </c>
    </row>
    <row r="70" spans="1:24" x14ac:dyDescent="0.25">
      <c r="A70" s="101">
        <v>69</v>
      </c>
      <c r="B70" s="100" t="s">
        <v>2658</v>
      </c>
      <c r="C70" s="104">
        <v>45942</v>
      </c>
      <c r="D70" s="100" t="s">
        <v>2659</v>
      </c>
      <c r="E70" s="106" t="s">
        <v>4128</v>
      </c>
      <c r="F70" s="100" t="s">
        <v>2543</v>
      </c>
      <c r="G70" s="100" t="s">
        <v>2566</v>
      </c>
      <c r="H70" s="100" t="s">
        <v>2631</v>
      </c>
      <c r="I70" s="100">
        <v>1</v>
      </c>
      <c r="J70" s="100">
        <v>1</v>
      </c>
      <c r="L70" s="100" t="s">
        <v>2729</v>
      </c>
      <c r="M70" s="100" t="s">
        <v>478</v>
      </c>
      <c r="N70" s="100" t="s">
        <v>2670</v>
      </c>
      <c r="O70" s="100" t="s">
        <v>2637</v>
      </c>
      <c r="P70" s="100">
        <v>50</v>
      </c>
      <c r="Q70" s="100" t="s">
        <v>469</v>
      </c>
      <c r="R70" s="100" t="str">
        <f>IFERROR(VLOOKUP(Rencontres_N3_PN_Rx[[#This Row],[Code_JA]],tab_JA[#All],3,FALSE)&amp;" "&amp;VLOOKUP(Rencontres_N3_PN_Rx[[#This Row],[Code_JA]],tab_JA[#All],4,FALSE),"")</f>
        <v>CASTEL Wilfried</v>
      </c>
      <c r="S70" s="101">
        <f>IF(Rencontres_N3_PN_Rx[[#This Row],[Code_JA]]&lt;&gt;"",COUNTIF(Rencontres_N3_PN_Rx[Code_JA],Rencontres_N3_PN_Rx[[#This Row],[Code_JA]]),0)</f>
        <v>1</v>
      </c>
      <c r="T70" s="102">
        <v>0</v>
      </c>
      <c r="U70" s="103">
        <v>0</v>
      </c>
      <c r="V70" s="102">
        <f>IF(AND(Rencontres_N3_PN_Rx[[#This Row],[JA à nommer]]="oui",Rencontres_N3_PN_Rx[[#This Row],[Code_JA]]&lt;&gt;""),Rencontres_N3_PN_Rx[[#This Row],[Peages]]+(Rencontres_N3_PN_Rx[[#This Row],[KM_JA]]*0.3)+25,0)</f>
        <v>0</v>
      </c>
      <c r="X70" s="102">
        <f>IF(Rencontres_N3_PN_Rx[[#This Row],[defiscal]]="OUI",Rencontres_N3_PN_Rx[[#This Row],[Peages]]+(Rencontres_N3_PN_Rx[[#This Row],[KM_JA]]*0.3),0)</f>
        <v>0</v>
      </c>
    </row>
    <row r="71" spans="1:24" x14ac:dyDescent="0.25">
      <c r="A71" s="101">
        <v>70</v>
      </c>
      <c r="B71" s="100" t="s">
        <v>2658</v>
      </c>
      <c r="C71" s="104">
        <v>45942</v>
      </c>
      <c r="D71" s="100" t="s">
        <v>2659</v>
      </c>
      <c r="E71" s="106" t="s">
        <v>4128</v>
      </c>
      <c r="F71" s="100" t="s">
        <v>2543</v>
      </c>
      <c r="G71" s="100" t="s">
        <v>2566</v>
      </c>
      <c r="H71" s="100" t="s">
        <v>2631</v>
      </c>
      <c r="I71" s="100">
        <v>3</v>
      </c>
      <c r="J71" s="100">
        <v>1</v>
      </c>
      <c r="L71" s="100" t="s">
        <v>2729</v>
      </c>
      <c r="M71" s="100" t="s">
        <v>734</v>
      </c>
      <c r="N71" s="100" t="s">
        <v>2674</v>
      </c>
      <c r="O71" s="100" t="s">
        <v>2648</v>
      </c>
      <c r="P71" s="100">
        <v>50</v>
      </c>
      <c r="Q71" s="100" t="s">
        <v>2254</v>
      </c>
      <c r="R71" s="100" t="str">
        <f>IFERROR(VLOOKUP(Rencontres_N3_PN_Rx[[#This Row],[Code_JA]],tab_JA[#All],3,FALSE)&amp;" "&amp;VLOOKUP(Rencontres_N3_PN_Rx[[#This Row],[Code_JA]],tab_JA[#All],4,FALSE),"")</f>
        <v>ROUAULT Pierrick</v>
      </c>
      <c r="S71" s="101">
        <f>IF(Rencontres_N3_PN_Rx[[#This Row],[Code_JA]]&lt;&gt;"",COUNTIF(Rencontres_N3_PN_Rx[Code_JA],Rencontres_N3_PN_Rx[[#This Row],[Code_JA]]),0)</f>
        <v>4</v>
      </c>
      <c r="T71" s="102">
        <v>0</v>
      </c>
      <c r="U71" s="103">
        <v>0</v>
      </c>
      <c r="V71" s="102">
        <f>IF(AND(Rencontres_N3_PN_Rx[[#This Row],[JA à nommer]]="oui",Rencontres_N3_PN_Rx[[#This Row],[Code_JA]]&lt;&gt;""),Rencontres_N3_PN_Rx[[#This Row],[Peages]]+(Rencontres_N3_PN_Rx[[#This Row],[KM_JA]]*0.3)+25,0)</f>
        <v>0</v>
      </c>
      <c r="X71" s="102">
        <f>IF(Rencontres_N3_PN_Rx[[#This Row],[defiscal]]="OUI",Rencontres_N3_PN_Rx[[#This Row],[Peages]]+(Rencontres_N3_PN_Rx[[#This Row],[KM_JA]]*0.3),0)</f>
        <v>0</v>
      </c>
    </row>
    <row r="72" spans="1:24" x14ac:dyDescent="0.25">
      <c r="A72" s="101">
        <v>71</v>
      </c>
      <c r="B72" s="100" t="s">
        <v>2541</v>
      </c>
      <c r="C72" s="104">
        <v>45976</v>
      </c>
      <c r="D72" s="100" t="s">
        <v>2542</v>
      </c>
      <c r="E72" s="106" t="s">
        <v>4129</v>
      </c>
      <c r="F72" s="100" t="s">
        <v>2543</v>
      </c>
      <c r="G72" s="100" t="s">
        <v>2554</v>
      </c>
      <c r="H72" s="100" t="s">
        <v>2555</v>
      </c>
      <c r="I72" s="100">
        <v>2</v>
      </c>
      <c r="J72" s="100">
        <v>1</v>
      </c>
      <c r="L72" s="100" t="s">
        <v>2731</v>
      </c>
      <c r="M72" s="100" t="s">
        <v>189</v>
      </c>
      <c r="N72" s="100" t="s">
        <v>2565</v>
      </c>
      <c r="O72" s="100" t="s">
        <v>2561</v>
      </c>
      <c r="P72" s="100">
        <v>50</v>
      </c>
      <c r="Q72" s="100" t="s">
        <v>90</v>
      </c>
      <c r="R72" s="100" t="str">
        <f>IFERROR(VLOOKUP(Rencontres_N3_PN_Rx[[#This Row],[Code_JA]],tab_JA[#All],3,FALSE)&amp;" "&amp;VLOOKUP(Rencontres_N3_PN_Rx[[#This Row],[Code_JA]],tab_JA[#All],4,FALSE),"")</f>
        <v>AZE Didier</v>
      </c>
      <c r="S72" s="101">
        <f>IF(Rencontres_N3_PN_Rx[[#This Row],[Code_JA]]&lt;&gt;"",COUNTIF(Rencontres_N3_PN_Rx[Code_JA],Rencontres_N3_PN_Rx[[#This Row],[Code_JA]]),0)</f>
        <v>4</v>
      </c>
      <c r="T72" s="102">
        <v>0</v>
      </c>
      <c r="U72" s="103">
        <v>60</v>
      </c>
      <c r="V72" s="102">
        <f>IF(AND(Rencontres_N3_PN_Rx[[#This Row],[JA à nommer]]="oui",Rencontres_N3_PN_Rx[[#This Row],[Code_JA]]&lt;&gt;""),Rencontres_N3_PN_Rx[[#This Row],[Peages]]+(Rencontres_N3_PN_Rx[[#This Row],[KM_JA]]*0.3)+25,0)</f>
        <v>43</v>
      </c>
      <c r="X72" s="102">
        <f>IF(Rencontres_N3_PN_Rx[[#This Row],[defiscal]]="OUI",Rencontres_N3_PN_Rx[[#This Row],[Peages]]+(Rencontres_N3_PN_Rx[[#This Row],[KM_JA]]*0.3),0)</f>
        <v>0</v>
      </c>
    </row>
    <row r="73" spans="1:24" x14ac:dyDescent="0.25">
      <c r="A73" s="101">
        <v>72</v>
      </c>
      <c r="B73" s="100" t="s">
        <v>2541</v>
      </c>
      <c r="C73" s="104">
        <v>45976</v>
      </c>
      <c r="D73" s="100" t="s">
        <v>2542</v>
      </c>
      <c r="E73" s="106" t="s">
        <v>4129</v>
      </c>
      <c r="F73" s="100" t="s">
        <v>2543</v>
      </c>
      <c r="G73" s="100" t="s">
        <v>2566</v>
      </c>
      <c r="H73" s="100" t="s">
        <v>2557</v>
      </c>
      <c r="I73" s="100">
        <v>1</v>
      </c>
      <c r="J73" s="100">
        <v>1</v>
      </c>
      <c r="L73" s="100" t="s">
        <v>2731</v>
      </c>
      <c r="M73" s="100" t="s">
        <v>189</v>
      </c>
      <c r="N73" s="100" t="s">
        <v>2574</v>
      </c>
      <c r="O73" s="100" t="s">
        <v>2567</v>
      </c>
      <c r="P73" s="100">
        <v>50</v>
      </c>
      <c r="Q73" s="100" t="s">
        <v>3272</v>
      </c>
      <c r="R73" s="100" t="str">
        <f>IFERROR(VLOOKUP(Rencontres_N3_PN_Rx[[#This Row],[Code_JA]],tab_JA[#All],3,FALSE)&amp;" "&amp;VLOOKUP(Rencontres_N3_PN_Rx[[#This Row],[Code_JA]],tab_JA[#All],4,FALSE),"")</f>
        <v>BINARD Mathis</v>
      </c>
      <c r="S73" s="101">
        <f>IF(Rencontres_N3_PN_Rx[[#This Row],[Code_JA]]&lt;&gt;"",COUNTIF(Rencontres_N3_PN_Rx[Code_JA],Rencontres_N3_PN_Rx[[#This Row],[Code_JA]]),0)</f>
        <v>5</v>
      </c>
      <c r="T73" s="102">
        <v>0</v>
      </c>
      <c r="U73" s="103">
        <v>44</v>
      </c>
      <c r="V73" s="102">
        <f>IF(AND(Rencontres_N3_PN_Rx[[#This Row],[JA à nommer]]="oui",Rencontres_N3_PN_Rx[[#This Row],[Code_JA]]&lt;&gt;""),Rencontres_N3_PN_Rx[[#This Row],[Peages]]+(Rencontres_N3_PN_Rx[[#This Row],[KM_JA]]*0.3)+25,0)</f>
        <v>38.200000000000003</v>
      </c>
      <c r="X73" s="102">
        <f>IF(Rencontres_N3_PN_Rx[[#This Row],[defiscal]]="OUI",Rencontres_N3_PN_Rx[[#This Row],[Peages]]+(Rencontres_N3_PN_Rx[[#This Row],[KM_JA]]*0.3),0)</f>
        <v>0</v>
      </c>
    </row>
    <row r="74" spans="1:24" x14ac:dyDescent="0.25">
      <c r="A74" s="101">
        <v>73</v>
      </c>
      <c r="B74" s="100" t="s">
        <v>2541</v>
      </c>
      <c r="C74" s="104">
        <v>45976</v>
      </c>
      <c r="D74" s="100" t="s">
        <v>2542</v>
      </c>
      <c r="E74" s="106" t="s">
        <v>4129</v>
      </c>
      <c r="F74" s="100" t="s">
        <v>2543</v>
      </c>
      <c r="G74" s="100" t="s">
        <v>2566</v>
      </c>
      <c r="H74" s="100" t="s">
        <v>2557</v>
      </c>
      <c r="I74" s="100">
        <v>1</v>
      </c>
      <c r="J74" s="100">
        <v>1</v>
      </c>
      <c r="L74" s="100" t="s">
        <v>2731</v>
      </c>
      <c r="M74" s="100" t="s">
        <v>294</v>
      </c>
      <c r="N74" s="100" t="s">
        <v>2573</v>
      </c>
      <c r="O74" s="100" t="s">
        <v>2569</v>
      </c>
      <c r="P74" s="100">
        <v>50</v>
      </c>
      <c r="Q74" s="100" t="s">
        <v>2197</v>
      </c>
      <c r="R74" s="100" t="str">
        <f>IFERROR(VLOOKUP(Rencontres_N3_PN_Rx[[#This Row],[Code_JA]],tab_JA[#All],3,FALSE)&amp;" "&amp;VLOOKUP(Rencontres_N3_PN_Rx[[#This Row],[Code_JA]],tab_JA[#All],4,FALSE),"")</f>
        <v>RELET Pascal</v>
      </c>
      <c r="S74" s="101">
        <f>IF(Rencontres_N3_PN_Rx[[#This Row],[Code_JA]]&lt;&gt;"",COUNTIF(Rencontres_N3_PN_Rx[Code_JA],Rencontres_N3_PN_Rx[[#This Row],[Code_JA]]),0)</f>
        <v>9</v>
      </c>
      <c r="T74" s="102">
        <v>0</v>
      </c>
      <c r="U74" s="103">
        <v>0</v>
      </c>
      <c r="V74" s="102">
        <f>IF(AND(Rencontres_N3_PN_Rx[[#This Row],[JA à nommer]]="oui",Rencontres_N3_PN_Rx[[#This Row],[Code_JA]]&lt;&gt;""),Rencontres_N3_PN_Rx[[#This Row],[Peages]]+(Rencontres_N3_PN_Rx[[#This Row],[KM_JA]]*0.3)+25,0)</f>
        <v>25</v>
      </c>
      <c r="X74" s="102">
        <f>IF(Rencontres_N3_PN_Rx[[#This Row],[defiscal]]="OUI",Rencontres_N3_PN_Rx[[#This Row],[Peages]]+(Rencontres_N3_PN_Rx[[#This Row],[KM_JA]]*0.3),0)</f>
        <v>0</v>
      </c>
    </row>
    <row r="75" spans="1:24" x14ac:dyDescent="0.25">
      <c r="A75" s="101">
        <v>74</v>
      </c>
      <c r="B75" s="100" t="s">
        <v>2541</v>
      </c>
      <c r="C75" s="104">
        <v>45976</v>
      </c>
      <c r="D75" s="100" t="s">
        <v>2542</v>
      </c>
      <c r="E75" s="106" t="s">
        <v>4129</v>
      </c>
      <c r="F75" s="100" t="s">
        <v>2543</v>
      </c>
      <c r="G75" s="100" t="s">
        <v>2566</v>
      </c>
      <c r="H75" s="100" t="s">
        <v>2557</v>
      </c>
      <c r="I75" s="100">
        <v>2</v>
      </c>
      <c r="J75" s="100">
        <v>1</v>
      </c>
      <c r="L75" s="100" t="s">
        <v>2731</v>
      </c>
      <c r="M75" s="100" t="s">
        <v>1468</v>
      </c>
      <c r="N75" s="100" t="s">
        <v>2580</v>
      </c>
      <c r="O75" s="100" t="s">
        <v>2575</v>
      </c>
      <c r="P75" s="100">
        <v>50</v>
      </c>
      <c r="Q75" s="100" t="s">
        <v>128</v>
      </c>
      <c r="R75" s="100" t="str">
        <f>IFERROR(VLOOKUP(Rencontres_N3_PN_Rx[[#This Row],[Code_JA]],tab_JA[#All],3,FALSE)&amp;" "&amp;VLOOKUP(Rencontres_N3_PN_Rx[[#This Row],[Code_JA]],tab_JA[#All],4,FALSE),"")</f>
        <v>BASTIEN Natacha</v>
      </c>
      <c r="S75" s="101">
        <f>IF(Rencontres_N3_PN_Rx[[#This Row],[Code_JA]]&lt;&gt;"",COUNTIF(Rencontres_N3_PN_Rx[Code_JA],Rencontres_N3_PN_Rx[[#This Row],[Code_JA]]),0)</f>
        <v>2</v>
      </c>
      <c r="T75" s="102">
        <v>0</v>
      </c>
      <c r="U75" s="103">
        <v>30</v>
      </c>
      <c r="V75" s="102">
        <f>IF(AND(Rencontres_N3_PN_Rx[[#This Row],[JA à nommer]]="oui",Rencontres_N3_PN_Rx[[#This Row],[Code_JA]]&lt;&gt;""),Rencontres_N3_PN_Rx[[#This Row],[Peages]]+(Rencontres_N3_PN_Rx[[#This Row],[KM_JA]]*0.3)+25,0)</f>
        <v>34</v>
      </c>
      <c r="X75" s="102">
        <f>IF(Rencontres_N3_PN_Rx[[#This Row],[defiscal]]="OUI",Rencontres_N3_PN_Rx[[#This Row],[Peages]]+(Rencontres_N3_PN_Rx[[#This Row],[KM_JA]]*0.3),0)</f>
        <v>0</v>
      </c>
    </row>
    <row r="76" spans="1:24" x14ac:dyDescent="0.25">
      <c r="A76" s="101">
        <v>75</v>
      </c>
      <c r="B76" s="100" t="s">
        <v>2541</v>
      </c>
      <c r="C76" s="104">
        <v>45976</v>
      </c>
      <c r="D76" s="100" t="s">
        <v>2542</v>
      </c>
      <c r="E76" s="106" t="s">
        <v>4129</v>
      </c>
      <c r="F76" s="100" t="s">
        <v>2543</v>
      </c>
      <c r="G76" s="100" t="s">
        <v>2566</v>
      </c>
      <c r="H76" s="100" t="s">
        <v>2557</v>
      </c>
      <c r="I76" s="100">
        <v>2</v>
      </c>
      <c r="J76" s="100">
        <v>1</v>
      </c>
      <c r="L76" s="100" t="s">
        <v>2731</v>
      </c>
      <c r="M76" s="100" t="s">
        <v>1364</v>
      </c>
      <c r="N76" s="100" t="s">
        <v>2579</v>
      </c>
      <c r="O76" s="100" t="s">
        <v>2577</v>
      </c>
      <c r="P76" s="100">
        <v>50</v>
      </c>
      <c r="Q76" s="100" t="s">
        <v>1150</v>
      </c>
      <c r="R76" s="100" t="str">
        <f>IFERROR(VLOOKUP(Rencontres_N3_PN_Rx[[#This Row],[Code_JA]],tab_JA[#All],3,FALSE)&amp;" "&amp;VLOOKUP(Rencontres_N3_PN_Rx[[#This Row],[Code_JA]],tab_JA[#All],4,FALSE),"")</f>
        <v>GOUTTE Dominique</v>
      </c>
      <c r="S76" s="101">
        <f>IF(Rencontres_N3_PN_Rx[[#This Row],[Code_JA]]&lt;&gt;"",COUNTIF(Rencontres_N3_PN_Rx[Code_JA],Rencontres_N3_PN_Rx[[#This Row],[Code_JA]]),0)</f>
        <v>12</v>
      </c>
      <c r="T76" s="102">
        <v>0</v>
      </c>
      <c r="U76" s="103">
        <v>55</v>
      </c>
      <c r="V76" s="102">
        <f>IF(AND(Rencontres_N3_PN_Rx[[#This Row],[JA à nommer]]="oui",Rencontres_N3_PN_Rx[[#This Row],[Code_JA]]&lt;&gt;""),Rencontres_N3_PN_Rx[[#This Row],[Peages]]+(Rencontres_N3_PN_Rx[[#This Row],[KM_JA]]*0.3)+25,0)</f>
        <v>41.5</v>
      </c>
      <c r="X76" s="102">
        <f>IF(Rencontres_N3_PN_Rx[[#This Row],[defiscal]]="OUI",Rencontres_N3_PN_Rx[[#This Row],[Peages]]+(Rencontres_N3_PN_Rx[[#This Row],[KM_JA]]*0.3),0)</f>
        <v>0</v>
      </c>
    </row>
    <row r="77" spans="1:24" x14ac:dyDescent="0.25">
      <c r="A77" s="101">
        <v>76</v>
      </c>
      <c r="B77" s="100" t="s">
        <v>2541</v>
      </c>
      <c r="C77" s="104">
        <v>45976</v>
      </c>
      <c r="D77" s="100" t="s">
        <v>2542</v>
      </c>
      <c r="E77" s="106" t="s">
        <v>4129</v>
      </c>
      <c r="F77" s="100" t="s">
        <v>2543</v>
      </c>
      <c r="G77" s="100" t="s">
        <v>2566</v>
      </c>
      <c r="H77" s="100" t="s">
        <v>2581</v>
      </c>
      <c r="I77" s="100">
        <v>1</v>
      </c>
      <c r="J77" s="100">
        <v>1</v>
      </c>
      <c r="L77" s="100" t="s">
        <v>2731</v>
      </c>
      <c r="M77" s="100" t="s">
        <v>98</v>
      </c>
      <c r="N77" s="100" t="s">
        <v>2586</v>
      </c>
      <c r="O77" s="100" t="s">
        <v>2583</v>
      </c>
      <c r="P77" s="100">
        <v>50</v>
      </c>
      <c r="Q77" s="100" t="s">
        <v>307</v>
      </c>
      <c r="R77" s="100" t="str">
        <f>IFERROR(VLOOKUP(Rencontres_N3_PN_Rx[[#This Row],[Code_JA]],tab_JA[#All],3,FALSE)&amp;" "&amp;VLOOKUP(Rencontres_N3_PN_Rx[[#This Row],[Code_JA]],tab_JA[#All],4,FALSE),"")</f>
        <v>BOUIN Pascal</v>
      </c>
      <c r="S77" s="101">
        <f>IF(Rencontres_N3_PN_Rx[[#This Row],[Code_JA]]&lt;&gt;"",COUNTIF(Rencontres_N3_PN_Rx[Code_JA],Rencontres_N3_PN_Rx[[#This Row],[Code_JA]]),0)</f>
        <v>3</v>
      </c>
      <c r="T77" s="102">
        <v>0</v>
      </c>
      <c r="U77" s="103">
        <v>20</v>
      </c>
      <c r="V77" s="102">
        <f>IF(AND(Rencontres_N3_PN_Rx[[#This Row],[JA à nommer]]="oui",Rencontres_N3_PN_Rx[[#This Row],[Code_JA]]&lt;&gt;""),Rencontres_N3_PN_Rx[[#This Row],[Peages]]+(Rencontres_N3_PN_Rx[[#This Row],[KM_JA]]*0.3)+25,0)</f>
        <v>31</v>
      </c>
      <c r="X77" s="102">
        <f>IF(Rencontres_N3_PN_Rx[[#This Row],[defiscal]]="OUI",Rencontres_N3_PN_Rx[[#This Row],[Peages]]+(Rencontres_N3_PN_Rx[[#This Row],[KM_JA]]*0.3),0)</f>
        <v>0</v>
      </c>
    </row>
    <row r="78" spans="1:24" x14ac:dyDescent="0.25">
      <c r="A78" s="101">
        <v>77</v>
      </c>
      <c r="B78" s="100" t="s">
        <v>2541</v>
      </c>
      <c r="C78" s="104">
        <v>45976</v>
      </c>
      <c r="D78" s="100" t="s">
        <v>4130</v>
      </c>
      <c r="E78" s="106" t="s">
        <v>4129</v>
      </c>
      <c r="F78" s="100" t="s">
        <v>2543</v>
      </c>
      <c r="G78" s="100" t="s">
        <v>2566</v>
      </c>
      <c r="H78" s="100" t="s">
        <v>2581</v>
      </c>
      <c r="I78" s="100">
        <v>1</v>
      </c>
      <c r="J78" s="100">
        <v>1</v>
      </c>
      <c r="L78" s="100" t="s">
        <v>2731</v>
      </c>
      <c r="M78" s="100" t="s">
        <v>813</v>
      </c>
      <c r="N78" s="100" t="s">
        <v>2587</v>
      </c>
      <c r="O78" s="100" t="s">
        <v>2585</v>
      </c>
      <c r="P78" s="100">
        <v>50</v>
      </c>
      <c r="Q78" s="100" t="s">
        <v>1794</v>
      </c>
      <c r="R78" s="100" t="str">
        <f>IFERROR(VLOOKUP(Rencontres_N3_PN_Rx[[#This Row],[Code_JA]],tab_JA[#All],3,FALSE)&amp;" "&amp;VLOOKUP(Rencontres_N3_PN_Rx[[#This Row],[Code_JA]],tab_JA[#All],4,FALSE),"")</f>
        <v>LETENDRE Dominique</v>
      </c>
      <c r="S78" s="101">
        <f>IF(Rencontres_N3_PN_Rx[[#This Row],[Code_JA]]&lt;&gt;"",COUNTIF(Rencontres_N3_PN_Rx[Code_JA],Rencontres_N3_PN_Rx[[#This Row],[Code_JA]]),0)</f>
        <v>6</v>
      </c>
      <c r="T78" s="102">
        <v>0</v>
      </c>
      <c r="U78" s="103">
        <v>66</v>
      </c>
      <c r="V78" s="102">
        <f>IF(AND(Rencontres_N3_PN_Rx[[#This Row],[JA à nommer]]="oui",Rencontres_N3_PN_Rx[[#This Row],[Code_JA]]&lt;&gt;""),Rencontres_N3_PN_Rx[[#This Row],[Peages]]+(Rencontres_N3_PN_Rx[[#This Row],[KM_JA]]*0.3)+25,0)</f>
        <v>44.8</v>
      </c>
      <c r="X78" s="102">
        <f>IF(Rencontres_N3_PN_Rx[[#This Row],[defiscal]]="OUI",Rencontres_N3_PN_Rx[[#This Row],[Peages]]+(Rencontres_N3_PN_Rx[[#This Row],[KM_JA]]*0.3),0)</f>
        <v>0</v>
      </c>
    </row>
    <row r="79" spans="1:24" x14ac:dyDescent="0.25">
      <c r="A79" s="101">
        <v>78</v>
      </c>
      <c r="B79" s="100" t="s">
        <v>2541</v>
      </c>
      <c r="C79" s="104">
        <v>45976</v>
      </c>
      <c r="D79" s="100" t="s">
        <v>2542</v>
      </c>
      <c r="E79" s="106" t="s">
        <v>4129</v>
      </c>
      <c r="F79" s="100" t="s">
        <v>2543</v>
      </c>
      <c r="G79" s="100" t="s">
        <v>2566</v>
      </c>
      <c r="H79" s="100" t="s">
        <v>2581</v>
      </c>
      <c r="I79" s="100">
        <v>2</v>
      </c>
      <c r="J79" s="100">
        <v>1</v>
      </c>
      <c r="L79" s="100" t="s">
        <v>2731</v>
      </c>
      <c r="M79" s="100" t="s">
        <v>1364</v>
      </c>
      <c r="N79" s="100" t="s">
        <v>2592</v>
      </c>
      <c r="O79" s="100" t="s">
        <v>2590</v>
      </c>
      <c r="P79" s="100">
        <v>50</v>
      </c>
      <c r="Q79" s="100" t="s">
        <v>1150</v>
      </c>
      <c r="R79" s="100" t="str">
        <f>IFERROR(VLOOKUP(Rencontres_N3_PN_Rx[[#This Row],[Code_JA]],tab_JA[#All],3,FALSE)&amp;" "&amp;VLOOKUP(Rencontres_N3_PN_Rx[[#This Row],[Code_JA]],tab_JA[#All],4,FALSE),"")</f>
        <v>GOUTTE Dominique</v>
      </c>
      <c r="S79" s="101">
        <f>IF(Rencontres_N3_PN_Rx[[#This Row],[Code_JA]]&lt;&gt;"",COUNTIF(Rencontres_N3_PN_Rx[Code_JA],Rencontres_N3_PN_Rx[[#This Row],[Code_JA]]),0)</f>
        <v>12</v>
      </c>
      <c r="T79" s="102">
        <v>0</v>
      </c>
      <c r="U79" s="103">
        <v>55</v>
      </c>
      <c r="V79" s="102">
        <f>IF(AND(Rencontres_N3_PN_Rx[[#This Row],[JA à nommer]]="oui",Rencontres_N3_PN_Rx[[#This Row],[Code_JA]]&lt;&gt;""),Rencontres_N3_PN_Rx[[#This Row],[Peages]]+(Rencontres_N3_PN_Rx[[#This Row],[KM_JA]]*0.3)+25,0)</f>
        <v>41.5</v>
      </c>
      <c r="X79" s="102">
        <f>IF(Rencontres_N3_PN_Rx[[#This Row],[defiscal]]="OUI",Rencontres_N3_PN_Rx[[#This Row],[Peages]]+(Rencontres_N3_PN_Rx[[#This Row],[KM_JA]]*0.3),0)</f>
        <v>0</v>
      </c>
    </row>
    <row r="80" spans="1:24" x14ac:dyDescent="0.25">
      <c r="A80" s="101">
        <v>79</v>
      </c>
      <c r="B80" s="100" t="s">
        <v>2541</v>
      </c>
      <c r="C80" s="104">
        <v>45976</v>
      </c>
      <c r="D80" s="100" t="s">
        <v>2542</v>
      </c>
      <c r="E80" s="106" t="s">
        <v>4129</v>
      </c>
      <c r="F80" s="100" t="s">
        <v>2543</v>
      </c>
      <c r="G80" s="100" t="s">
        <v>2566</v>
      </c>
      <c r="H80" s="100" t="s">
        <v>2581</v>
      </c>
      <c r="I80" s="100">
        <v>3</v>
      </c>
      <c r="J80" s="100">
        <v>1</v>
      </c>
      <c r="L80" s="100" t="s">
        <v>2731</v>
      </c>
      <c r="M80" s="100" t="s">
        <v>189</v>
      </c>
      <c r="N80" s="100" t="s">
        <v>2599</v>
      </c>
      <c r="O80" s="100" t="s">
        <v>2594</v>
      </c>
      <c r="P80" s="100">
        <v>50</v>
      </c>
      <c r="Q80" s="100" t="s">
        <v>3272</v>
      </c>
      <c r="R80" s="100" t="str">
        <f>IFERROR(VLOOKUP(Rencontres_N3_PN_Rx[[#This Row],[Code_JA]],tab_JA[#All],3,FALSE)&amp;" "&amp;VLOOKUP(Rencontres_N3_PN_Rx[[#This Row],[Code_JA]],tab_JA[#All],4,FALSE),"")</f>
        <v>BINARD Mathis</v>
      </c>
      <c r="S80" s="101">
        <f>IF(Rencontres_N3_PN_Rx[[#This Row],[Code_JA]]&lt;&gt;"",COUNTIF(Rencontres_N3_PN_Rx[Code_JA],Rencontres_N3_PN_Rx[[#This Row],[Code_JA]]),0)</f>
        <v>5</v>
      </c>
      <c r="T80" s="102">
        <v>0</v>
      </c>
      <c r="U80" s="103">
        <v>44</v>
      </c>
      <c r="V80" s="102">
        <f>IF(AND(Rencontres_N3_PN_Rx[[#This Row],[JA à nommer]]="oui",Rencontres_N3_PN_Rx[[#This Row],[Code_JA]]&lt;&gt;""),Rencontres_N3_PN_Rx[[#This Row],[Peages]]+(Rencontres_N3_PN_Rx[[#This Row],[KM_JA]]*0.3)+25,0)</f>
        <v>38.200000000000003</v>
      </c>
      <c r="X80" s="102">
        <f>IF(Rencontres_N3_PN_Rx[[#This Row],[defiscal]]="OUI",Rencontres_N3_PN_Rx[[#This Row],[Peages]]+(Rencontres_N3_PN_Rx[[#This Row],[KM_JA]]*0.3),0)</f>
        <v>0</v>
      </c>
    </row>
    <row r="81" spans="1:24" x14ac:dyDescent="0.25">
      <c r="A81" s="101">
        <v>80</v>
      </c>
      <c r="B81" s="100" t="s">
        <v>2541</v>
      </c>
      <c r="C81" s="104">
        <v>45976</v>
      </c>
      <c r="D81" s="100" t="s">
        <v>2542</v>
      </c>
      <c r="E81" s="106" t="s">
        <v>4129</v>
      </c>
      <c r="F81" s="100" t="s">
        <v>2543</v>
      </c>
      <c r="G81" s="100" t="s">
        <v>2566</v>
      </c>
      <c r="H81" s="100" t="s">
        <v>2581</v>
      </c>
      <c r="I81" s="100">
        <v>3</v>
      </c>
      <c r="J81" s="100">
        <v>1</v>
      </c>
      <c r="L81" s="100" t="s">
        <v>2731</v>
      </c>
      <c r="M81" s="100" t="s">
        <v>2063</v>
      </c>
      <c r="N81" s="100" t="s">
        <v>2598</v>
      </c>
      <c r="O81" s="100" t="s">
        <v>2666</v>
      </c>
      <c r="P81" s="100">
        <v>50</v>
      </c>
      <c r="Q81" s="100" t="s">
        <v>2395</v>
      </c>
      <c r="R81" s="100" t="str">
        <f>IFERROR(VLOOKUP(Rencontres_N3_PN_Rx[[#This Row],[Code_JA]],tab_JA[#All],3,FALSE)&amp;" "&amp;VLOOKUP(Rencontres_N3_PN_Rx[[#This Row],[Code_JA]],tab_JA[#All],4,FALSE),"")</f>
        <v>TRAVES Annie</v>
      </c>
      <c r="S81" s="101">
        <f>IF(Rencontres_N3_PN_Rx[[#This Row],[Code_JA]]&lt;&gt;"",COUNTIF(Rencontres_N3_PN_Rx[Code_JA],Rencontres_N3_PN_Rx[[#This Row],[Code_JA]]),0)</f>
        <v>7</v>
      </c>
      <c r="T81" s="102">
        <v>0</v>
      </c>
      <c r="U81" s="103">
        <v>80</v>
      </c>
      <c r="V81" s="102">
        <f>IF(AND(Rencontres_N3_PN_Rx[[#This Row],[JA à nommer]]="oui",Rencontres_N3_PN_Rx[[#This Row],[Code_JA]]&lt;&gt;""),Rencontres_N3_PN_Rx[[#This Row],[Peages]]+(Rencontres_N3_PN_Rx[[#This Row],[KM_JA]]*0.3)+25,0)</f>
        <v>49</v>
      </c>
      <c r="X81" s="102">
        <f>IF(Rencontres_N3_PN_Rx[[#This Row],[defiscal]]="OUI",Rencontres_N3_PN_Rx[[#This Row],[Peages]]+(Rencontres_N3_PN_Rx[[#This Row],[KM_JA]]*0.3),0)</f>
        <v>0</v>
      </c>
    </row>
    <row r="82" spans="1:24" x14ac:dyDescent="0.25">
      <c r="A82" s="101">
        <v>81</v>
      </c>
      <c r="B82" s="100" t="s">
        <v>2541</v>
      </c>
      <c r="C82" s="104">
        <v>45976</v>
      </c>
      <c r="D82" s="100" t="s">
        <v>2542</v>
      </c>
      <c r="E82" s="106" t="s">
        <v>4128</v>
      </c>
      <c r="F82" s="100" t="s">
        <v>2543</v>
      </c>
      <c r="G82" s="100" t="s">
        <v>2566</v>
      </c>
      <c r="H82" s="100" t="s">
        <v>2600</v>
      </c>
      <c r="I82" s="100">
        <v>1</v>
      </c>
      <c r="J82" s="100">
        <v>1</v>
      </c>
      <c r="L82" s="100" t="s">
        <v>2731</v>
      </c>
      <c r="M82" s="100" t="s">
        <v>1468</v>
      </c>
      <c r="N82" s="100" t="s">
        <v>2606</v>
      </c>
      <c r="O82" s="100" t="s">
        <v>2601</v>
      </c>
      <c r="P82" s="100">
        <v>50</v>
      </c>
      <c r="Q82" s="100" t="s">
        <v>2434</v>
      </c>
      <c r="R82" s="100" t="str">
        <f>IFERROR(VLOOKUP(Rencontres_N3_PN_Rx[[#This Row],[Code_JA]],tab_JA[#All],3,FALSE)&amp;" "&amp;VLOOKUP(Rencontres_N3_PN_Rx[[#This Row],[Code_JA]],tab_JA[#All],4,FALSE),"")</f>
        <v>VASSE Agnes</v>
      </c>
      <c r="S82" s="101">
        <f>IF(Rencontres_N3_PN_Rx[[#This Row],[Code_JA]]&lt;&gt;"",COUNTIF(Rencontres_N3_PN_Rx[Code_JA],Rencontres_N3_PN_Rx[[#This Row],[Code_JA]]),0)</f>
        <v>6</v>
      </c>
      <c r="T82" s="102">
        <v>0</v>
      </c>
      <c r="U82" s="103">
        <v>0</v>
      </c>
      <c r="V82" s="102">
        <f>IF(AND(Rencontres_N3_PN_Rx[[#This Row],[JA à nommer]]="oui",Rencontres_N3_PN_Rx[[#This Row],[Code_JA]]&lt;&gt;""),Rencontres_N3_PN_Rx[[#This Row],[Peages]]+(Rencontres_N3_PN_Rx[[#This Row],[KM_JA]]*0.3)+25,0)</f>
        <v>0</v>
      </c>
      <c r="X82" s="102">
        <f>IF(Rencontres_N3_PN_Rx[[#This Row],[defiscal]]="OUI",Rencontres_N3_PN_Rx[[#This Row],[Peages]]+(Rencontres_N3_PN_Rx[[#This Row],[KM_JA]]*0.3),0)</f>
        <v>0</v>
      </c>
    </row>
    <row r="83" spans="1:24" x14ac:dyDescent="0.25">
      <c r="A83" s="101">
        <v>82</v>
      </c>
      <c r="B83" s="100" t="s">
        <v>2541</v>
      </c>
      <c r="C83" s="104">
        <v>45976</v>
      </c>
      <c r="D83" s="100" t="s">
        <v>2542</v>
      </c>
      <c r="E83" s="106" t="s">
        <v>4129</v>
      </c>
      <c r="F83" s="100" t="s">
        <v>2543</v>
      </c>
      <c r="G83" s="100" t="s">
        <v>2566</v>
      </c>
      <c r="H83" s="100" t="s">
        <v>2600</v>
      </c>
      <c r="I83" s="100">
        <v>1</v>
      </c>
      <c r="J83" s="100">
        <v>1</v>
      </c>
      <c r="L83" s="100" t="s">
        <v>2731</v>
      </c>
      <c r="M83" s="100" t="s">
        <v>2495</v>
      </c>
      <c r="N83" s="100" t="s">
        <v>2669</v>
      </c>
      <c r="O83" s="100" t="s">
        <v>2604</v>
      </c>
      <c r="P83" s="100">
        <v>50</v>
      </c>
      <c r="Q83" s="100" t="s">
        <v>3296</v>
      </c>
      <c r="R83" s="100" t="str">
        <f>IFERROR(VLOOKUP(Rencontres_N3_PN_Rx[[#This Row],[Code_JA]],tab_JA[#All],3,FALSE)&amp;" "&amp;VLOOKUP(Rencontres_N3_PN_Rx[[#This Row],[Code_JA]],tab_JA[#All],4,FALSE),"")</f>
        <v>JOUIN JEHAN Corentin</v>
      </c>
      <c r="S83" s="101">
        <f>IF(Rencontres_N3_PN_Rx[[#This Row],[Code_JA]]&lt;&gt;"",COUNTIF(Rencontres_N3_PN_Rx[Code_JA],Rencontres_N3_PN_Rx[[#This Row],[Code_JA]]),0)</f>
        <v>9</v>
      </c>
      <c r="T83" s="102">
        <v>0</v>
      </c>
      <c r="U83" s="103">
        <v>18.2</v>
      </c>
      <c r="V83" s="102">
        <f>IF(AND(Rencontres_N3_PN_Rx[[#This Row],[JA à nommer]]="oui",Rencontres_N3_PN_Rx[[#This Row],[Code_JA]]&lt;&gt;""),Rencontres_N3_PN_Rx[[#This Row],[Peages]]+(Rencontres_N3_PN_Rx[[#This Row],[KM_JA]]*0.3)+25,0)</f>
        <v>30.46</v>
      </c>
      <c r="X83" s="102">
        <f>IF(Rencontres_N3_PN_Rx[[#This Row],[defiscal]]="OUI",Rencontres_N3_PN_Rx[[#This Row],[Peages]]+(Rencontres_N3_PN_Rx[[#This Row],[KM_JA]]*0.3),0)</f>
        <v>0</v>
      </c>
    </row>
    <row r="84" spans="1:24" x14ac:dyDescent="0.25">
      <c r="A84" s="101">
        <v>83</v>
      </c>
      <c r="B84" s="100" t="s">
        <v>2541</v>
      </c>
      <c r="C84" s="104">
        <v>45976</v>
      </c>
      <c r="D84" s="100" t="s">
        <v>2542</v>
      </c>
      <c r="E84" s="106" t="s">
        <v>4128</v>
      </c>
      <c r="F84" s="100" t="s">
        <v>2543</v>
      </c>
      <c r="G84" s="100" t="s">
        <v>2566</v>
      </c>
      <c r="H84" s="100" t="s">
        <v>2600</v>
      </c>
      <c r="I84" s="100">
        <v>2</v>
      </c>
      <c r="J84" s="100">
        <v>1</v>
      </c>
      <c r="L84" s="100" t="s">
        <v>2731</v>
      </c>
      <c r="M84" s="100" t="s">
        <v>1213</v>
      </c>
      <c r="N84" s="100" t="s">
        <v>2614</v>
      </c>
      <c r="O84" s="100" t="s">
        <v>2607</v>
      </c>
      <c r="P84" s="100">
        <v>50</v>
      </c>
      <c r="Q84" s="100" t="s">
        <v>1205</v>
      </c>
      <c r="R84" s="100" t="str">
        <f>IFERROR(VLOOKUP(Rencontres_N3_PN_Rx[[#This Row],[Code_JA]],tab_JA[#All],3,FALSE)&amp;" "&amp;VLOOKUP(Rencontres_N3_PN_Rx[[#This Row],[Code_JA]],tab_JA[#All],4,FALSE),"")</f>
        <v>GUINGAND Kevin</v>
      </c>
      <c r="S84" s="101">
        <f>IF(Rencontres_N3_PN_Rx[[#This Row],[Code_JA]]&lt;&gt;"",COUNTIF(Rencontres_N3_PN_Rx[Code_JA],Rencontres_N3_PN_Rx[[#This Row],[Code_JA]]),0)</f>
        <v>2</v>
      </c>
      <c r="T84" s="102">
        <v>0</v>
      </c>
      <c r="U84" s="103">
        <v>0</v>
      </c>
      <c r="V84" s="102">
        <f>IF(AND(Rencontres_N3_PN_Rx[[#This Row],[JA à nommer]]="oui",Rencontres_N3_PN_Rx[[#This Row],[Code_JA]]&lt;&gt;""),Rencontres_N3_PN_Rx[[#This Row],[Peages]]+(Rencontres_N3_PN_Rx[[#This Row],[KM_JA]]*0.3)+25,0)</f>
        <v>0</v>
      </c>
      <c r="X84" s="102">
        <f>IF(Rencontres_N3_PN_Rx[[#This Row],[defiscal]]="OUI",Rencontres_N3_PN_Rx[[#This Row],[Peages]]+(Rencontres_N3_PN_Rx[[#This Row],[KM_JA]]*0.3),0)</f>
        <v>0</v>
      </c>
    </row>
    <row r="85" spans="1:24" x14ac:dyDescent="0.25">
      <c r="A85" s="101">
        <v>84</v>
      </c>
      <c r="B85" s="100" t="s">
        <v>2541</v>
      </c>
      <c r="C85" s="104">
        <v>45976</v>
      </c>
      <c r="D85" s="100" t="s">
        <v>4130</v>
      </c>
      <c r="E85" s="106" t="s">
        <v>4129</v>
      </c>
      <c r="F85" s="100" t="s">
        <v>2543</v>
      </c>
      <c r="G85" s="100" t="s">
        <v>2566</v>
      </c>
      <c r="H85" s="100" t="s">
        <v>2600</v>
      </c>
      <c r="I85" s="100">
        <v>4</v>
      </c>
      <c r="J85" s="100">
        <v>1</v>
      </c>
      <c r="L85" s="100" t="s">
        <v>2731</v>
      </c>
      <c r="M85" s="100" t="s">
        <v>691</v>
      </c>
      <c r="N85" s="100" t="s">
        <v>2630</v>
      </c>
      <c r="O85" s="100" t="s">
        <v>2623</v>
      </c>
      <c r="P85" s="100">
        <v>50</v>
      </c>
      <c r="Q85" s="100" t="s">
        <v>3325</v>
      </c>
      <c r="R85" s="100" t="str">
        <f>IFERROR(VLOOKUP(Rencontres_N3_PN_Rx[[#This Row],[Code_JA]],tab_JA[#All],3,FALSE)&amp;" "&amp;VLOOKUP(Rencontres_N3_PN_Rx[[#This Row],[Code_JA]],tab_JA[#All],4,FALSE),"")</f>
        <v>LUCAS Stephanie</v>
      </c>
      <c r="S85" s="101">
        <f>IF(Rencontres_N3_PN_Rx[[#This Row],[Code_JA]]&lt;&gt;"",COUNTIF(Rencontres_N3_PN_Rx[Code_JA],Rencontres_N3_PN_Rx[[#This Row],[Code_JA]]),0)</f>
        <v>7</v>
      </c>
      <c r="T85" s="102">
        <v>0</v>
      </c>
      <c r="U85" s="103">
        <v>9</v>
      </c>
      <c r="V85" s="102">
        <f>IF(AND(Rencontres_N3_PN_Rx[[#This Row],[JA à nommer]]="oui",Rencontres_N3_PN_Rx[[#This Row],[Code_JA]]&lt;&gt;""),Rencontres_N3_PN_Rx[[#This Row],[Peages]]+(Rencontres_N3_PN_Rx[[#This Row],[KM_JA]]*0.3)+25,0)</f>
        <v>27.7</v>
      </c>
      <c r="X85" s="102">
        <f>IF(Rencontres_N3_PN_Rx[[#This Row],[defiscal]]="OUI",Rencontres_N3_PN_Rx[[#This Row],[Peages]]+(Rencontres_N3_PN_Rx[[#This Row],[KM_JA]]*0.3),0)</f>
        <v>0</v>
      </c>
    </row>
    <row r="86" spans="1:24" x14ac:dyDescent="0.25">
      <c r="A86" s="101">
        <v>85</v>
      </c>
      <c r="B86" s="100" t="s">
        <v>2541</v>
      </c>
      <c r="C86" s="104">
        <v>45976</v>
      </c>
      <c r="D86" s="100" t="s">
        <v>2542</v>
      </c>
      <c r="E86" s="106" t="s">
        <v>4128</v>
      </c>
      <c r="F86" s="100" t="s">
        <v>2543</v>
      </c>
      <c r="G86" s="100" t="s">
        <v>2566</v>
      </c>
      <c r="H86" s="100" t="s">
        <v>2600</v>
      </c>
      <c r="I86" s="100">
        <v>4</v>
      </c>
      <c r="J86" s="100">
        <v>1</v>
      </c>
      <c r="L86" s="100" t="s">
        <v>2731</v>
      </c>
      <c r="M86" s="100" t="s">
        <v>2063</v>
      </c>
      <c r="N86" s="100" t="s">
        <v>2629</v>
      </c>
      <c r="O86" s="100" t="s">
        <v>2625</v>
      </c>
      <c r="P86" s="100">
        <v>50</v>
      </c>
      <c r="Q86" s="100" t="s">
        <v>2370</v>
      </c>
      <c r="R86" s="100" t="str">
        <f>IFERROR(VLOOKUP(Rencontres_N3_PN_Rx[[#This Row],[Code_JA]],tab_JA[#All],3,FALSE)&amp;" "&amp;VLOOKUP(Rencontres_N3_PN_Rx[[#This Row],[Code_JA]],tab_JA[#All],4,FALSE),"")</f>
        <v>THEBAUT Thierry</v>
      </c>
      <c r="S86" s="101">
        <f>IF(Rencontres_N3_PN_Rx[[#This Row],[Code_JA]]&lt;&gt;"",COUNTIF(Rencontres_N3_PN_Rx[Code_JA],Rencontres_N3_PN_Rx[[#This Row],[Code_JA]]),0)</f>
        <v>1</v>
      </c>
      <c r="T86" s="102">
        <v>0</v>
      </c>
      <c r="U86" s="103">
        <v>0</v>
      </c>
      <c r="V86" s="102">
        <f>IF(AND(Rencontres_N3_PN_Rx[[#This Row],[JA à nommer]]="oui",Rencontres_N3_PN_Rx[[#This Row],[Code_JA]]&lt;&gt;""),Rencontres_N3_PN_Rx[[#This Row],[Peages]]+(Rencontres_N3_PN_Rx[[#This Row],[KM_JA]]*0.3)+25,0)</f>
        <v>0</v>
      </c>
      <c r="X86" s="102">
        <f>IF(Rencontres_N3_PN_Rx[[#This Row],[defiscal]]="OUI",Rencontres_N3_PN_Rx[[#This Row],[Peages]]+(Rencontres_N3_PN_Rx[[#This Row],[KM_JA]]*0.3),0)</f>
        <v>0</v>
      </c>
    </row>
    <row r="87" spans="1:24" x14ac:dyDescent="0.25">
      <c r="A87" s="101">
        <v>86</v>
      </c>
      <c r="B87" s="100" t="s">
        <v>2541</v>
      </c>
      <c r="C87" s="104">
        <v>45976</v>
      </c>
      <c r="D87" s="100" t="s">
        <v>2542</v>
      </c>
      <c r="E87" s="106" t="s">
        <v>4128</v>
      </c>
      <c r="F87" s="100" t="s">
        <v>2543</v>
      </c>
      <c r="G87" s="100" t="s">
        <v>2566</v>
      </c>
      <c r="H87" s="100" t="s">
        <v>2600</v>
      </c>
      <c r="I87" s="100">
        <v>4</v>
      </c>
      <c r="J87" s="100">
        <v>1</v>
      </c>
      <c r="L87" s="100" t="s">
        <v>2731</v>
      </c>
      <c r="M87" s="100" t="s">
        <v>98</v>
      </c>
      <c r="N87" s="100" t="s">
        <v>2627</v>
      </c>
      <c r="O87" s="100" t="s">
        <v>2624</v>
      </c>
      <c r="P87" s="100">
        <v>50</v>
      </c>
      <c r="Q87" s="100" t="s">
        <v>1181</v>
      </c>
      <c r="R87" s="100" t="str">
        <f>IFERROR(VLOOKUP(Rencontres_N3_PN_Rx[[#This Row],[Code_JA]],tab_JA[#All],3,FALSE)&amp;" "&amp;VLOOKUP(Rencontres_N3_PN_Rx[[#This Row],[Code_JA]],tab_JA[#All],4,FALSE),"")</f>
        <v>GUILLARD Yannick</v>
      </c>
      <c r="S87" s="101">
        <f>IF(Rencontres_N3_PN_Rx[[#This Row],[Code_JA]]&lt;&gt;"",COUNTIF(Rencontres_N3_PN_Rx[Code_JA],Rencontres_N3_PN_Rx[[#This Row],[Code_JA]]),0)</f>
        <v>3</v>
      </c>
      <c r="T87" s="102">
        <v>0</v>
      </c>
      <c r="U87" s="103">
        <v>0</v>
      </c>
      <c r="V87" s="102">
        <f>IF(AND(Rencontres_N3_PN_Rx[[#This Row],[JA à nommer]]="oui",Rencontres_N3_PN_Rx[[#This Row],[Code_JA]]&lt;&gt;""),Rencontres_N3_PN_Rx[[#This Row],[Peages]]+(Rencontres_N3_PN_Rx[[#This Row],[KM_JA]]*0.3)+25,0)</f>
        <v>0</v>
      </c>
      <c r="X87" s="102">
        <f>IF(Rencontres_N3_PN_Rx[[#This Row],[defiscal]]="OUI",Rencontres_N3_PN_Rx[[#This Row],[Peages]]+(Rencontres_N3_PN_Rx[[#This Row],[KM_JA]]*0.3),0)</f>
        <v>0</v>
      </c>
    </row>
    <row r="88" spans="1:24" x14ac:dyDescent="0.25">
      <c r="A88" s="101">
        <v>87</v>
      </c>
      <c r="B88" s="100" t="s">
        <v>2541</v>
      </c>
      <c r="C88" s="104">
        <v>45976</v>
      </c>
      <c r="D88" s="100" t="s">
        <v>2542</v>
      </c>
      <c r="E88" s="106" t="s">
        <v>4128</v>
      </c>
      <c r="F88" s="100" t="s">
        <v>2543</v>
      </c>
      <c r="G88" s="100" t="s">
        <v>2566</v>
      </c>
      <c r="H88" s="100" t="s">
        <v>2631</v>
      </c>
      <c r="I88" s="100">
        <v>1</v>
      </c>
      <c r="J88" s="100">
        <v>1</v>
      </c>
      <c r="L88" s="100" t="s">
        <v>2731</v>
      </c>
      <c r="M88" s="100" t="s">
        <v>189</v>
      </c>
      <c r="N88" s="100" t="s">
        <v>2637</v>
      </c>
      <c r="O88" s="100" t="s">
        <v>2632</v>
      </c>
      <c r="P88" s="100">
        <v>50</v>
      </c>
      <c r="Q88" s="100" t="s">
        <v>3269</v>
      </c>
      <c r="R88" s="100" t="str">
        <f>IFERROR(VLOOKUP(Rencontres_N3_PN_Rx[[#This Row],[Code_JA]],tab_JA[#All],3,FALSE)&amp;" "&amp;VLOOKUP(Rencontres_N3_PN_Rx[[#This Row],[Code_JA]],tab_JA[#All],4,FALSE),"")</f>
        <v>BELLAND Ludovic</v>
      </c>
      <c r="S88" s="101">
        <f>IF(Rencontres_N3_PN_Rx[[#This Row],[Code_JA]]&lt;&gt;"",COUNTIF(Rencontres_N3_PN_Rx[Code_JA],Rencontres_N3_PN_Rx[[#This Row],[Code_JA]]),0)</f>
        <v>2</v>
      </c>
      <c r="T88" s="102">
        <v>0</v>
      </c>
      <c r="U88" s="103">
        <v>0</v>
      </c>
      <c r="V88" s="102">
        <f>IF(AND(Rencontres_N3_PN_Rx[[#This Row],[JA à nommer]]="oui",Rencontres_N3_PN_Rx[[#This Row],[Code_JA]]&lt;&gt;""),Rencontres_N3_PN_Rx[[#This Row],[Peages]]+(Rencontres_N3_PN_Rx[[#This Row],[KM_JA]]*0.3)+25,0)</f>
        <v>0</v>
      </c>
      <c r="X88" s="102">
        <f>IF(Rencontres_N3_PN_Rx[[#This Row],[defiscal]]="OUI",Rencontres_N3_PN_Rx[[#This Row],[Peages]]+(Rencontres_N3_PN_Rx[[#This Row],[KM_JA]]*0.3),0)</f>
        <v>0</v>
      </c>
    </row>
    <row r="89" spans="1:24" x14ac:dyDescent="0.25">
      <c r="A89" s="101">
        <v>88</v>
      </c>
      <c r="B89" s="100" t="s">
        <v>2541</v>
      </c>
      <c r="C89" s="104">
        <v>45976</v>
      </c>
      <c r="D89" s="100" t="s">
        <v>4130</v>
      </c>
      <c r="E89" s="106" t="s">
        <v>4129</v>
      </c>
      <c r="F89" s="100" t="s">
        <v>2543</v>
      </c>
      <c r="G89" s="100" t="s">
        <v>2566</v>
      </c>
      <c r="H89" s="100" t="s">
        <v>2631</v>
      </c>
      <c r="I89" s="100">
        <v>2</v>
      </c>
      <c r="J89" s="100">
        <v>1</v>
      </c>
      <c r="L89" s="100" t="s">
        <v>2731</v>
      </c>
      <c r="M89" s="100" t="s">
        <v>691</v>
      </c>
      <c r="N89" s="100" t="s">
        <v>2643</v>
      </c>
      <c r="O89" s="100" t="s">
        <v>2672</v>
      </c>
      <c r="P89" s="100">
        <v>50</v>
      </c>
      <c r="Q89" s="100" t="s">
        <v>3325</v>
      </c>
      <c r="R89" s="100" t="str">
        <f>IFERROR(VLOOKUP(Rencontres_N3_PN_Rx[[#This Row],[Code_JA]],tab_JA[#All],3,FALSE)&amp;" "&amp;VLOOKUP(Rencontres_N3_PN_Rx[[#This Row],[Code_JA]],tab_JA[#All],4,FALSE),"")</f>
        <v>LUCAS Stephanie</v>
      </c>
      <c r="S89" s="101">
        <f>IF(Rencontres_N3_PN_Rx[[#This Row],[Code_JA]]&lt;&gt;"",COUNTIF(Rencontres_N3_PN_Rx[Code_JA],Rencontres_N3_PN_Rx[[#This Row],[Code_JA]]),0)</f>
        <v>7</v>
      </c>
      <c r="T89" s="102">
        <v>0</v>
      </c>
      <c r="U89" s="103">
        <v>0</v>
      </c>
      <c r="V89" s="102">
        <f>IF(AND(Rencontres_N3_PN_Rx[[#This Row],[JA à nommer]]="oui",Rencontres_N3_PN_Rx[[#This Row],[Code_JA]]&lt;&gt;""),Rencontres_N3_PN_Rx[[#This Row],[Peages]]+(Rencontres_N3_PN_Rx[[#This Row],[KM_JA]]*0.3)+25,0)</f>
        <v>25</v>
      </c>
      <c r="X89" s="102">
        <f>IF(Rencontres_N3_PN_Rx[[#This Row],[defiscal]]="OUI",Rencontres_N3_PN_Rx[[#This Row],[Peages]]+(Rencontres_N3_PN_Rx[[#This Row],[KM_JA]]*0.3),0)</f>
        <v>0</v>
      </c>
    </row>
    <row r="90" spans="1:24" x14ac:dyDescent="0.25">
      <c r="A90" s="101">
        <v>89</v>
      </c>
      <c r="B90" s="100" t="s">
        <v>2541</v>
      </c>
      <c r="C90" s="104">
        <v>45976</v>
      </c>
      <c r="D90" s="100" t="s">
        <v>2542</v>
      </c>
      <c r="E90" s="106" t="s">
        <v>4128</v>
      </c>
      <c r="F90" s="100" t="s">
        <v>2543</v>
      </c>
      <c r="G90" s="100" t="s">
        <v>2566</v>
      </c>
      <c r="H90" s="100" t="s">
        <v>2631</v>
      </c>
      <c r="I90" s="100">
        <v>3</v>
      </c>
      <c r="J90" s="100">
        <v>1</v>
      </c>
      <c r="L90" s="100" t="s">
        <v>2731</v>
      </c>
      <c r="M90" s="100" t="s">
        <v>765</v>
      </c>
      <c r="N90" s="100" t="s">
        <v>2649</v>
      </c>
      <c r="O90" s="100" t="s">
        <v>2644</v>
      </c>
      <c r="P90" s="100">
        <v>50</v>
      </c>
      <c r="Q90" s="100" t="s">
        <v>756</v>
      </c>
      <c r="R90" s="100" t="str">
        <f>IFERROR(VLOOKUP(Rencontres_N3_PN_Rx[[#This Row],[Code_JA]],tab_JA[#All],3,FALSE)&amp;" "&amp;VLOOKUP(Rencontres_N3_PN_Rx[[#This Row],[Code_JA]],tab_JA[#All],4,FALSE),"")</f>
        <v>DEFOURNEAUX Eric</v>
      </c>
      <c r="S90" s="101">
        <f>IF(Rencontres_N3_PN_Rx[[#This Row],[Code_JA]]&lt;&gt;"",COUNTIF(Rencontres_N3_PN_Rx[Code_JA],Rencontres_N3_PN_Rx[[#This Row],[Code_JA]]),0)</f>
        <v>1</v>
      </c>
      <c r="T90" s="102">
        <v>0</v>
      </c>
      <c r="U90" s="103">
        <v>0</v>
      </c>
      <c r="V90" s="102">
        <f>IF(AND(Rencontres_N3_PN_Rx[[#This Row],[JA à nommer]]="oui",Rencontres_N3_PN_Rx[[#This Row],[Code_JA]]&lt;&gt;""),Rencontres_N3_PN_Rx[[#This Row],[Peages]]+(Rencontres_N3_PN_Rx[[#This Row],[KM_JA]]*0.3)+25,0)</f>
        <v>0</v>
      </c>
      <c r="X90" s="102">
        <f>IF(Rencontres_N3_PN_Rx[[#This Row],[defiscal]]="OUI",Rencontres_N3_PN_Rx[[#This Row],[Peages]]+(Rencontres_N3_PN_Rx[[#This Row],[KM_JA]]*0.3),0)</f>
        <v>0</v>
      </c>
    </row>
    <row r="91" spans="1:24" x14ac:dyDescent="0.25">
      <c r="A91" s="101">
        <v>90</v>
      </c>
      <c r="B91" s="100" t="s">
        <v>2541</v>
      </c>
      <c r="C91" s="104">
        <v>45976</v>
      </c>
      <c r="D91" s="100" t="s">
        <v>2542</v>
      </c>
      <c r="E91" s="106" t="s">
        <v>4129</v>
      </c>
      <c r="F91" s="100" t="s">
        <v>2543</v>
      </c>
      <c r="G91" s="100" t="s">
        <v>2566</v>
      </c>
      <c r="H91" s="100" t="s">
        <v>2631</v>
      </c>
      <c r="I91" s="100">
        <v>3</v>
      </c>
      <c r="J91" s="100">
        <v>1</v>
      </c>
      <c r="L91" s="100" t="s">
        <v>2731</v>
      </c>
      <c r="M91" s="100" t="s">
        <v>2495</v>
      </c>
      <c r="N91" s="100" t="s">
        <v>2675</v>
      </c>
      <c r="O91" s="100" t="s">
        <v>2647</v>
      </c>
      <c r="P91" s="100">
        <v>50</v>
      </c>
      <c r="Q91" s="100" t="s">
        <v>3296</v>
      </c>
      <c r="R91" s="100" t="str">
        <f>IFERROR(VLOOKUP(Rencontres_N3_PN_Rx[[#This Row],[Code_JA]],tab_JA[#All],3,FALSE)&amp;" "&amp;VLOOKUP(Rencontres_N3_PN_Rx[[#This Row],[Code_JA]],tab_JA[#All],4,FALSE),"")</f>
        <v>JOUIN JEHAN Corentin</v>
      </c>
      <c r="S91" s="101">
        <f>IF(Rencontres_N3_PN_Rx[[#This Row],[Code_JA]]&lt;&gt;"",COUNTIF(Rencontres_N3_PN_Rx[Code_JA],Rencontres_N3_PN_Rx[[#This Row],[Code_JA]]),0)</f>
        <v>9</v>
      </c>
      <c r="T91" s="102">
        <v>0</v>
      </c>
      <c r="U91" s="103">
        <v>18.2</v>
      </c>
      <c r="V91" s="102">
        <f>IF(AND(Rencontres_N3_PN_Rx[[#This Row],[JA à nommer]]="oui",Rencontres_N3_PN_Rx[[#This Row],[Code_JA]]&lt;&gt;""),Rencontres_N3_PN_Rx[[#This Row],[Peages]]+(Rencontres_N3_PN_Rx[[#This Row],[KM_JA]]*0.3)+25,0)</f>
        <v>30.46</v>
      </c>
      <c r="X91" s="102">
        <f>IF(Rencontres_N3_PN_Rx[[#This Row],[defiscal]]="OUI",Rencontres_N3_PN_Rx[[#This Row],[Peages]]+(Rencontres_N3_PN_Rx[[#This Row],[KM_JA]]*0.3),0)</f>
        <v>0</v>
      </c>
    </row>
    <row r="92" spans="1:24" x14ac:dyDescent="0.25">
      <c r="A92" s="101">
        <v>91</v>
      </c>
      <c r="B92" s="100" t="s">
        <v>2541</v>
      </c>
      <c r="C92" s="104">
        <v>45976</v>
      </c>
      <c r="D92" s="100" t="s">
        <v>2542</v>
      </c>
      <c r="E92" s="106" t="s">
        <v>4129</v>
      </c>
      <c r="F92" s="100" t="s">
        <v>2543</v>
      </c>
      <c r="G92" s="100" t="s">
        <v>2566</v>
      </c>
      <c r="H92" s="100" t="s">
        <v>2631</v>
      </c>
      <c r="I92" s="100">
        <v>4</v>
      </c>
      <c r="J92" s="100">
        <v>1</v>
      </c>
      <c r="L92" s="100" t="s">
        <v>2731</v>
      </c>
      <c r="M92" s="100" t="s">
        <v>173</v>
      </c>
      <c r="N92" s="100" t="s">
        <v>2657</v>
      </c>
      <c r="O92" s="100" t="s">
        <v>2650</v>
      </c>
      <c r="P92" s="100">
        <v>50</v>
      </c>
      <c r="Q92" s="100" t="s">
        <v>1706</v>
      </c>
      <c r="R92" s="100" t="str">
        <f>IFERROR(VLOOKUP(Rencontres_N3_PN_Rx[[#This Row],[Code_JA]],tab_JA[#All],3,FALSE)&amp;" "&amp;VLOOKUP(Rencontres_N3_PN_Rx[[#This Row],[Code_JA]],tab_JA[#All],4,FALSE),"")</f>
        <v>LEMPERIERE Philippe</v>
      </c>
      <c r="S92" s="101">
        <f>IF(Rencontres_N3_PN_Rx[[#This Row],[Code_JA]]&lt;&gt;"",COUNTIF(Rencontres_N3_PN_Rx[Code_JA],Rencontres_N3_PN_Rx[[#This Row],[Code_JA]]),0)</f>
        <v>3</v>
      </c>
      <c r="T92" s="102">
        <v>0</v>
      </c>
      <c r="U92" s="103">
        <v>40</v>
      </c>
      <c r="V92" s="102">
        <f>IF(AND(Rencontres_N3_PN_Rx[[#This Row],[JA à nommer]]="oui",Rencontres_N3_PN_Rx[[#This Row],[Code_JA]]&lt;&gt;""),Rencontres_N3_PN_Rx[[#This Row],[Peages]]+(Rencontres_N3_PN_Rx[[#This Row],[KM_JA]]*0.3)+25,0)</f>
        <v>37</v>
      </c>
      <c r="X92" s="102">
        <f>IF(Rencontres_N3_PN_Rx[[#This Row],[defiscal]]="OUI",Rencontres_N3_PN_Rx[[#This Row],[Peages]]+(Rencontres_N3_PN_Rx[[#This Row],[KM_JA]]*0.3),0)</f>
        <v>0</v>
      </c>
    </row>
    <row r="93" spans="1:24" x14ac:dyDescent="0.25">
      <c r="A93" s="101">
        <v>92</v>
      </c>
      <c r="B93" s="100" t="s">
        <v>2541</v>
      </c>
      <c r="C93" s="104">
        <v>45976</v>
      </c>
      <c r="D93" s="100" t="s">
        <v>2542</v>
      </c>
      <c r="E93" s="106" t="s">
        <v>4129</v>
      </c>
      <c r="F93" s="100" t="s">
        <v>2543</v>
      </c>
      <c r="G93" s="100" t="s">
        <v>2566</v>
      </c>
      <c r="H93" s="100" t="s">
        <v>2631</v>
      </c>
      <c r="I93" s="100">
        <v>4</v>
      </c>
      <c r="J93" s="100">
        <v>1</v>
      </c>
      <c r="L93" s="100" t="s">
        <v>2731</v>
      </c>
      <c r="M93" s="100" t="s">
        <v>1714</v>
      </c>
      <c r="N93" s="100" t="s">
        <v>2656</v>
      </c>
      <c r="O93" s="100" t="s">
        <v>2652</v>
      </c>
      <c r="P93" s="100">
        <v>50</v>
      </c>
      <c r="Q93" s="100" t="s">
        <v>3315</v>
      </c>
      <c r="R93" s="100" t="str">
        <f>IFERROR(VLOOKUP(Rencontres_N3_PN_Rx[[#This Row],[Code_JA]],tab_JA[#All],3,FALSE)&amp;" "&amp;VLOOKUP(Rencontres_N3_PN_Rx[[#This Row],[Code_JA]],tab_JA[#All],4,FALSE),"")</f>
        <v>LEPETIT Jean-Marc</v>
      </c>
      <c r="S93" s="101">
        <f>IF(Rencontres_N3_PN_Rx[[#This Row],[Code_JA]]&lt;&gt;"",COUNTIF(Rencontres_N3_PN_Rx[Code_JA],Rencontres_N3_PN_Rx[[#This Row],[Code_JA]]),0)</f>
        <v>3</v>
      </c>
      <c r="T93" s="102">
        <v>0</v>
      </c>
      <c r="U93" s="103">
        <v>52</v>
      </c>
      <c r="V93" s="102">
        <f>IF(AND(Rencontres_N3_PN_Rx[[#This Row],[JA à nommer]]="oui",Rencontres_N3_PN_Rx[[#This Row],[Code_JA]]&lt;&gt;""),Rencontres_N3_PN_Rx[[#This Row],[Peages]]+(Rencontres_N3_PN_Rx[[#This Row],[KM_JA]]*0.3)+25,0)</f>
        <v>40.6</v>
      </c>
      <c r="X93" s="102">
        <f>IF(Rencontres_N3_PN_Rx[[#This Row],[defiscal]]="OUI",Rencontres_N3_PN_Rx[[#This Row],[Peages]]+(Rencontres_N3_PN_Rx[[#This Row],[KM_JA]]*0.3),0)</f>
        <v>0</v>
      </c>
    </row>
    <row r="94" spans="1:24" x14ac:dyDescent="0.25">
      <c r="A94" s="101">
        <v>93</v>
      </c>
      <c r="B94" s="100" t="s">
        <v>2541</v>
      </c>
      <c r="C94" s="104">
        <v>45955</v>
      </c>
      <c r="D94" s="100" t="s">
        <v>2542</v>
      </c>
      <c r="E94" s="106" t="s">
        <v>4128</v>
      </c>
      <c r="F94" s="100" t="s">
        <v>2543</v>
      </c>
      <c r="G94" s="100" t="s">
        <v>2566</v>
      </c>
      <c r="H94" s="100" t="s">
        <v>2631</v>
      </c>
      <c r="I94" s="100">
        <v>4</v>
      </c>
      <c r="J94" s="100">
        <v>1</v>
      </c>
      <c r="L94" s="100" t="s">
        <v>2731</v>
      </c>
      <c r="M94" s="100" t="s">
        <v>478</v>
      </c>
      <c r="N94" s="100" t="s">
        <v>2655</v>
      </c>
      <c r="O94" s="100" t="s">
        <v>2653</v>
      </c>
      <c r="P94" s="100">
        <v>50</v>
      </c>
      <c r="Q94" s="100" t="s">
        <v>1786</v>
      </c>
      <c r="R94" s="100" t="str">
        <f>IFERROR(VLOOKUP(Rencontres_N3_PN_Rx[[#This Row],[Code_JA]],tab_JA[#All],3,FALSE)&amp;" "&amp;VLOOKUP(Rencontres_N3_PN_Rx[[#This Row],[Code_JA]],tab_JA[#All],4,FALSE),"")</f>
        <v>LETENDRE Brigitte</v>
      </c>
      <c r="S94" s="101">
        <f>IF(Rencontres_N3_PN_Rx[[#This Row],[Code_JA]]&lt;&gt;"",COUNTIF(Rencontres_N3_PN_Rx[Code_JA],Rencontres_N3_PN_Rx[[#This Row],[Code_JA]]),0)</f>
        <v>6</v>
      </c>
      <c r="T94" s="102">
        <v>0</v>
      </c>
      <c r="U94" s="103">
        <v>0</v>
      </c>
      <c r="V94" s="102">
        <f>IF(AND(Rencontres_N3_PN_Rx[[#This Row],[JA à nommer]]="oui",Rencontres_N3_PN_Rx[[#This Row],[Code_JA]]&lt;&gt;""),Rencontres_N3_PN_Rx[[#This Row],[Peages]]+(Rencontres_N3_PN_Rx[[#This Row],[KM_JA]]*0.3)+25,0)</f>
        <v>0</v>
      </c>
      <c r="X94" s="102">
        <f>IF(Rencontres_N3_PN_Rx[[#This Row],[defiscal]]="OUI",Rencontres_N3_PN_Rx[[#This Row],[Peages]]+(Rencontres_N3_PN_Rx[[#This Row],[KM_JA]]*0.3),0)</f>
        <v>0</v>
      </c>
    </row>
    <row r="95" spans="1:24" x14ac:dyDescent="0.25">
      <c r="A95" s="101">
        <v>94</v>
      </c>
      <c r="B95" s="100" t="s">
        <v>2541</v>
      </c>
      <c r="C95" s="104">
        <v>45976</v>
      </c>
      <c r="D95" s="100" t="s">
        <v>2542</v>
      </c>
      <c r="E95" s="106" t="s">
        <v>4129</v>
      </c>
      <c r="F95" s="100" t="s">
        <v>2543</v>
      </c>
      <c r="G95" s="100" t="s">
        <v>2544</v>
      </c>
      <c r="H95" s="100" t="s">
        <v>2545</v>
      </c>
      <c r="I95" s="100">
        <v>2</v>
      </c>
      <c r="J95" s="100">
        <v>1</v>
      </c>
      <c r="L95" s="100" t="s">
        <v>2731</v>
      </c>
      <c r="M95" s="100" t="s">
        <v>189</v>
      </c>
      <c r="N95" s="100" t="s">
        <v>2547</v>
      </c>
      <c r="O95" s="100" t="s">
        <v>2732</v>
      </c>
      <c r="P95" s="100">
        <v>50</v>
      </c>
      <c r="Q95" s="100" t="s">
        <v>90</v>
      </c>
      <c r="R95" s="100" t="str">
        <f>IFERROR(VLOOKUP(Rencontres_N3_PN_Rx[[#This Row],[Code_JA]],tab_JA[#All],3,FALSE)&amp;" "&amp;VLOOKUP(Rencontres_N3_PN_Rx[[#This Row],[Code_JA]],tab_JA[#All],4,FALSE),"")</f>
        <v>AZE Didier</v>
      </c>
      <c r="S95" s="101">
        <f>IF(Rencontres_N3_PN_Rx[[#This Row],[Code_JA]]&lt;&gt;"",COUNTIF(Rencontres_N3_PN_Rx[Code_JA],Rencontres_N3_PN_Rx[[#This Row],[Code_JA]]),0)</f>
        <v>4</v>
      </c>
      <c r="T95" s="102">
        <v>0</v>
      </c>
      <c r="U95" s="103">
        <v>60</v>
      </c>
      <c r="V95" s="102">
        <f>IF(AND(Rencontres_N3_PN_Rx[[#This Row],[JA à nommer]]="oui",Rencontres_N3_PN_Rx[[#This Row],[Code_JA]]&lt;&gt;""),Rencontres_N3_PN_Rx[[#This Row],[Peages]]+(Rencontres_N3_PN_Rx[[#This Row],[KM_JA]]*0.3)+25,0)</f>
        <v>43</v>
      </c>
      <c r="X95" s="102">
        <f>IF(Rencontres_N3_PN_Rx[[#This Row],[defiscal]]="OUI",Rencontres_N3_PN_Rx[[#This Row],[Peages]]+(Rencontres_N3_PN_Rx[[#This Row],[KM_JA]]*0.3),0)</f>
        <v>0</v>
      </c>
    </row>
    <row r="96" spans="1:24" x14ac:dyDescent="0.25">
      <c r="A96" s="101">
        <v>95</v>
      </c>
      <c r="B96" s="100" t="s">
        <v>2658</v>
      </c>
      <c r="C96" s="104">
        <v>45977</v>
      </c>
      <c r="D96" s="100" t="s">
        <v>2659</v>
      </c>
      <c r="E96" s="106" t="s">
        <v>4129</v>
      </c>
      <c r="F96" s="100" t="s">
        <v>2543</v>
      </c>
      <c r="G96" s="100" t="s">
        <v>2566</v>
      </c>
      <c r="H96" s="100" t="s">
        <v>2557</v>
      </c>
      <c r="I96" s="100">
        <v>2</v>
      </c>
      <c r="J96" s="100">
        <v>1</v>
      </c>
      <c r="L96" s="100" t="s">
        <v>2731</v>
      </c>
      <c r="M96" s="100" t="s">
        <v>734</v>
      </c>
      <c r="N96" s="100" t="s">
        <v>2660</v>
      </c>
      <c r="O96" s="100" t="s">
        <v>2576</v>
      </c>
      <c r="P96" s="100">
        <v>50</v>
      </c>
      <c r="Q96" s="100" t="s">
        <v>165</v>
      </c>
      <c r="R96" s="100" t="str">
        <f>IFERROR(VLOOKUP(Rencontres_N3_PN_Rx[[#This Row],[Code_JA]],tab_JA[#All],3,FALSE)&amp;" "&amp;VLOOKUP(Rencontres_N3_PN_Rx[[#This Row],[Code_JA]],tab_JA[#All],4,FALSE),"")</f>
        <v>BELHOSTE Morgane</v>
      </c>
      <c r="S96" s="101">
        <f>IF(Rencontres_N3_PN_Rx[[#This Row],[Code_JA]]&lt;&gt;"",COUNTIF(Rencontres_N3_PN_Rx[Code_JA],Rencontres_N3_PN_Rx[[#This Row],[Code_JA]]),0)</f>
        <v>4</v>
      </c>
      <c r="T96" s="102">
        <v>0</v>
      </c>
      <c r="U96" s="103">
        <v>26</v>
      </c>
      <c r="V96" s="102">
        <f>IF(AND(Rencontres_N3_PN_Rx[[#This Row],[JA à nommer]]="oui",Rencontres_N3_PN_Rx[[#This Row],[Code_JA]]&lt;&gt;""),Rencontres_N3_PN_Rx[[#This Row],[Peages]]+(Rencontres_N3_PN_Rx[[#This Row],[KM_JA]]*0.3)+25,0)</f>
        <v>32.799999999999997</v>
      </c>
      <c r="X96" s="102">
        <f>IF(Rencontres_N3_PN_Rx[[#This Row],[defiscal]]="OUI",Rencontres_N3_PN_Rx[[#This Row],[Peages]]+(Rencontres_N3_PN_Rx[[#This Row],[KM_JA]]*0.3),0)</f>
        <v>0</v>
      </c>
    </row>
    <row r="97" spans="1:24" x14ac:dyDescent="0.25">
      <c r="A97" s="101">
        <v>96</v>
      </c>
      <c r="B97" s="100" t="s">
        <v>2658</v>
      </c>
      <c r="C97" s="104">
        <v>45977</v>
      </c>
      <c r="D97" s="100" t="s">
        <v>2659</v>
      </c>
      <c r="E97" s="106" t="s">
        <v>4129</v>
      </c>
      <c r="F97" s="100" t="s">
        <v>2543</v>
      </c>
      <c r="G97" s="100" t="s">
        <v>2566</v>
      </c>
      <c r="H97" s="100" t="s">
        <v>2581</v>
      </c>
      <c r="I97" s="100">
        <v>2</v>
      </c>
      <c r="J97" s="100">
        <v>1</v>
      </c>
      <c r="L97" s="100" t="s">
        <v>2731</v>
      </c>
      <c r="M97" s="100" t="s">
        <v>1591</v>
      </c>
      <c r="N97" s="100" t="s">
        <v>2593</v>
      </c>
      <c r="O97" s="100" t="s">
        <v>2588</v>
      </c>
      <c r="P97" s="100">
        <v>50</v>
      </c>
      <c r="Q97" s="100" t="s">
        <v>1366</v>
      </c>
      <c r="R97" s="100" t="str">
        <f>IFERROR(VLOOKUP(Rencontres_N3_PN_Rx[[#This Row],[Code_JA]],tab_JA[#All],3,FALSE)&amp;" "&amp;VLOOKUP(Rencontres_N3_PN_Rx[[#This Row],[Code_JA]],tab_JA[#All],4,FALSE),"")</f>
        <v>JOURDAIN Jean-Francois</v>
      </c>
      <c r="S97" s="101">
        <f>IF(Rencontres_N3_PN_Rx[[#This Row],[Code_JA]]&lt;&gt;"",COUNTIF(Rencontres_N3_PN_Rx[Code_JA],Rencontres_N3_PN_Rx[[#This Row],[Code_JA]]),0)</f>
        <v>6</v>
      </c>
      <c r="T97" s="102">
        <v>0</v>
      </c>
      <c r="U97" s="103">
        <v>72</v>
      </c>
      <c r="V97" s="102">
        <f>IF(AND(Rencontres_N3_PN_Rx[[#This Row],[JA à nommer]]="oui",Rencontres_N3_PN_Rx[[#This Row],[Code_JA]]&lt;&gt;""),Rencontres_N3_PN_Rx[[#This Row],[Peages]]+(Rencontres_N3_PN_Rx[[#This Row],[KM_JA]]*0.3)+25,0)</f>
        <v>46.599999999999994</v>
      </c>
      <c r="X97" s="102">
        <f>IF(Rencontres_N3_PN_Rx[[#This Row],[defiscal]]="OUI",Rencontres_N3_PN_Rx[[#This Row],[Peages]]+(Rencontres_N3_PN_Rx[[#This Row],[KM_JA]]*0.3),0)</f>
        <v>0</v>
      </c>
    </row>
    <row r="98" spans="1:24" x14ac:dyDescent="0.25">
      <c r="A98" s="101">
        <v>97</v>
      </c>
      <c r="B98" s="100" t="s">
        <v>2658</v>
      </c>
      <c r="C98" s="104">
        <v>45977</v>
      </c>
      <c r="D98" s="100" t="s">
        <v>2659</v>
      </c>
      <c r="E98" s="106" t="s">
        <v>4128</v>
      </c>
      <c r="F98" s="100" t="s">
        <v>2543</v>
      </c>
      <c r="G98" s="100" t="s">
        <v>2566</v>
      </c>
      <c r="H98" s="100" t="s">
        <v>2631</v>
      </c>
      <c r="I98" s="100">
        <v>3</v>
      </c>
      <c r="J98" s="100">
        <v>1</v>
      </c>
      <c r="L98" s="100" t="s">
        <v>2731</v>
      </c>
      <c r="M98" s="100" t="s">
        <v>734</v>
      </c>
      <c r="N98" s="100" t="s">
        <v>2674</v>
      </c>
      <c r="O98" s="100" t="s">
        <v>2645</v>
      </c>
      <c r="P98" s="100">
        <v>50</v>
      </c>
      <c r="Q98" s="100" t="s">
        <v>165</v>
      </c>
      <c r="R98" s="100" t="str">
        <f>IFERROR(VLOOKUP(Rencontres_N3_PN_Rx[[#This Row],[Code_JA]],tab_JA[#All],3,FALSE)&amp;" "&amp;VLOOKUP(Rencontres_N3_PN_Rx[[#This Row],[Code_JA]],tab_JA[#All],4,FALSE),"")</f>
        <v>BELHOSTE Morgane</v>
      </c>
      <c r="S98" s="101">
        <f>IF(Rencontres_N3_PN_Rx[[#This Row],[Code_JA]]&lt;&gt;"",COUNTIF(Rencontres_N3_PN_Rx[Code_JA],Rencontres_N3_PN_Rx[[#This Row],[Code_JA]]),0)</f>
        <v>4</v>
      </c>
      <c r="T98" s="102">
        <v>0</v>
      </c>
      <c r="U98" s="103">
        <v>0</v>
      </c>
      <c r="V98" s="102">
        <f>IF(AND(Rencontres_N3_PN_Rx[[#This Row],[JA à nommer]]="oui",Rencontres_N3_PN_Rx[[#This Row],[Code_JA]]&lt;&gt;""),Rencontres_N3_PN_Rx[[#This Row],[Peages]]+(Rencontres_N3_PN_Rx[[#This Row],[KM_JA]]*0.3)+25,0)</f>
        <v>0</v>
      </c>
      <c r="X98" s="102">
        <f>IF(Rencontres_N3_PN_Rx[[#This Row],[defiscal]]="OUI",Rencontres_N3_PN_Rx[[#This Row],[Peages]]+(Rencontres_N3_PN_Rx[[#This Row],[KM_JA]]*0.3),0)</f>
        <v>0</v>
      </c>
    </row>
    <row r="99" spans="1:24" x14ac:dyDescent="0.25">
      <c r="A99" s="101">
        <v>98</v>
      </c>
      <c r="B99" s="100" t="s">
        <v>2541</v>
      </c>
      <c r="C99" s="104">
        <v>45990</v>
      </c>
      <c r="D99" s="100" t="s">
        <v>2542</v>
      </c>
      <c r="E99" s="106" t="s">
        <v>4129</v>
      </c>
      <c r="F99" s="100" t="s">
        <v>2543</v>
      </c>
      <c r="G99" s="100" t="s">
        <v>2566</v>
      </c>
      <c r="H99" s="100" t="s">
        <v>2557</v>
      </c>
      <c r="I99" s="100">
        <v>1</v>
      </c>
      <c r="J99" s="100">
        <v>1</v>
      </c>
      <c r="L99" s="100" t="s">
        <v>2733</v>
      </c>
      <c r="M99" s="100" t="s">
        <v>98</v>
      </c>
      <c r="N99" s="100" t="s">
        <v>2570</v>
      </c>
      <c r="O99" s="100" t="s">
        <v>2574</v>
      </c>
      <c r="P99" s="100">
        <v>50</v>
      </c>
      <c r="Q99" s="100" t="s">
        <v>139</v>
      </c>
      <c r="R99" s="100" t="str">
        <f>IFERROR(VLOOKUP(Rencontres_N3_PN_Rx[[#This Row],[Code_JA]],tab_JA[#All],3,FALSE)&amp;" "&amp;VLOOKUP(Rencontres_N3_PN_Rx[[#This Row],[Code_JA]],tab_JA[#All],4,FALSE),"")</f>
        <v>BASTIEN Romain</v>
      </c>
      <c r="S99" s="101">
        <f>IF(Rencontres_N3_PN_Rx[[#This Row],[Code_JA]]&lt;&gt;"",COUNTIF(Rencontres_N3_PN_Rx[Code_JA],Rencontres_N3_PN_Rx[[#This Row],[Code_JA]]),0)</f>
        <v>5</v>
      </c>
      <c r="T99" s="102">
        <v>0</v>
      </c>
      <c r="U99" s="103">
        <v>15</v>
      </c>
      <c r="V99" s="102">
        <f>IF(AND(Rencontres_N3_PN_Rx[[#This Row],[JA à nommer]]="oui",Rencontres_N3_PN_Rx[[#This Row],[Code_JA]]&lt;&gt;""),Rencontres_N3_PN_Rx[[#This Row],[Peages]]+(Rencontres_N3_PN_Rx[[#This Row],[KM_JA]]*0.3)+25,0)</f>
        <v>29.5</v>
      </c>
      <c r="X99" s="102">
        <f>IF(Rencontres_N3_PN_Rx[[#This Row],[defiscal]]="OUI",Rencontres_N3_PN_Rx[[#This Row],[Peages]]+(Rencontres_N3_PN_Rx[[#This Row],[KM_JA]]*0.3),0)</f>
        <v>0</v>
      </c>
    </row>
    <row r="100" spans="1:24" x14ac:dyDescent="0.25">
      <c r="A100" s="101">
        <v>99</v>
      </c>
      <c r="B100" s="100" t="s">
        <v>2541</v>
      </c>
      <c r="C100" s="104">
        <v>45990</v>
      </c>
      <c r="D100" s="100" t="s">
        <v>2542</v>
      </c>
      <c r="E100" s="106" t="s">
        <v>4129</v>
      </c>
      <c r="F100" s="100" t="s">
        <v>2543</v>
      </c>
      <c r="G100" s="100" t="s">
        <v>2566</v>
      </c>
      <c r="H100" s="100" t="s">
        <v>2557</v>
      </c>
      <c r="I100" s="100">
        <v>1</v>
      </c>
      <c r="J100" s="100">
        <v>1</v>
      </c>
      <c r="L100" s="100" t="s">
        <v>2733</v>
      </c>
      <c r="M100" s="100" t="s">
        <v>1179</v>
      </c>
      <c r="N100" s="100" t="s">
        <v>2568</v>
      </c>
      <c r="O100" s="100" t="s">
        <v>2572</v>
      </c>
      <c r="P100" s="100">
        <v>50</v>
      </c>
      <c r="Q100" s="100" t="s">
        <v>2434</v>
      </c>
      <c r="R100" s="100" t="str">
        <f>IFERROR(VLOOKUP(Rencontres_N3_PN_Rx[[#This Row],[Code_JA]],tab_JA[#All],3,FALSE)&amp;" "&amp;VLOOKUP(Rencontres_N3_PN_Rx[[#This Row],[Code_JA]],tab_JA[#All],4,FALSE),"")</f>
        <v>VASSE Agnes</v>
      </c>
      <c r="S100" s="101">
        <f>IF(Rencontres_N3_PN_Rx[[#This Row],[Code_JA]]&lt;&gt;"",COUNTIF(Rencontres_N3_PN_Rx[Code_JA],Rencontres_N3_PN_Rx[[#This Row],[Code_JA]]),0)</f>
        <v>6</v>
      </c>
      <c r="T100" s="102">
        <v>0</v>
      </c>
      <c r="U100" s="103">
        <v>12</v>
      </c>
      <c r="V100" s="102">
        <f>IF(AND(Rencontres_N3_PN_Rx[[#This Row],[JA à nommer]]="oui",Rencontres_N3_PN_Rx[[#This Row],[Code_JA]]&lt;&gt;""),Rencontres_N3_PN_Rx[[#This Row],[Peages]]+(Rencontres_N3_PN_Rx[[#This Row],[KM_JA]]*0.3)+25,0)</f>
        <v>28.6</v>
      </c>
      <c r="X100" s="102">
        <f>IF(Rencontres_N3_PN_Rx[[#This Row],[defiscal]]="OUI",Rencontres_N3_PN_Rx[[#This Row],[Peages]]+(Rencontres_N3_PN_Rx[[#This Row],[KM_JA]]*0.3),0)</f>
        <v>0</v>
      </c>
    </row>
    <row r="101" spans="1:24" x14ac:dyDescent="0.25">
      <c r="A101" s="101">
        <v>100</v>
      </c>
      <c r="B101" s="100" t="s">
        <v>2541</v>
      </c>
      <c r="C101" s="104">
        <v>45990</v>
      </c>
      <c r="D101" s="100" t="s">
        <v>2542</v>
      </c>
      <c r="E101" s="106" t="s">
        <v>4129</v>
      </c>
      <c r="F101" s="100" t="s">
        <v>2543</v>
      </c>
      <c r="G101" s="100" t="s">
        <v>2566</v>
      </c>
      <c r="H101" s="100" t="s">
        <v>2557</v>
      </c>
      <c r="I101" s="100">
        <v>2</v>
      </c>
      <c r="J101" s="100">
        <v>1</v>
      </c>
      <c r="L101" s="100" t="s">
        <v>2733</v>
      </c>
      <c r="M101" s="100" t="s">
        <v>478</v>
      </c>
      <c r="N101" s="100" t="s">
        <v>2577</v>
      </c>
      <c r="O101" s="100" t="s">
        <v>2660</v>
      </c>
      <c r="P101" s="100">
        <v>50</v>
      </c>
      <c r="Q101" s="100" t="s">
        <v>1150</v>
      </c>
      <c r="R101" s="100" t="str">
        <f>IFERROR(VLOOKUP(Rencontres_N3_PN_Rx[[#This Row],[Code_JA]],tab_JA[#All],3,FALSE)&amp;" "&amp;VLOOKUP(Rencontres_N3_PN_Rx[[#This Row],[Code_JA]],tab_JA[#All],4,FALSE),"")</f>
        <v>GOUTTE Dominique</v>
      </c>
      <c r="S101" s="101">
        <f>IF(Rencontres_N3_PN_Rx[[#This Row],[Code_JA]]&lt;&gt;"",COUNTIF(Rencontres_N3_PN_Rx[Code_JA],Rencontres_N3_PN_Rx[[#This Row],[Code_JA]]),0)</f>
        <v>12</v>
      </c>
      <c r="T101" s="102">
        <v>0</v>
      </c>
      <c r="U101" s="103">
        <v>51</v>
      </c>
      <c r="V101" s="102">
        <f>IF(AND(Rencontres_N3_PN_Rx[[#This Row],[JA à nommer]]="oui",Rencontres_N3_PN_Rx[[#This Row],[Code_JA]]&lt;&gt;""),Rencontres_N3_PN_Rx[[#This Row],[Peages]]+(Rencontres_N3_PN_Rx[[#This Row],[KM_JA]]*0.3)+25,0)</f>
        <v>40.299999999999997</v>
      </c>
      <c r="X101" s="102">
        <f>IF(Rencontres_N3_PN_Rx[[#This Row],[defiscal]]="OUI",Rencontres_N3_PN_Rx[[#This Row],[Peages]]+(Rencontres_N3_PN_Rx[[#This Row],[KM_JA]]*0.3),0)</f>
        <v>0</v>
      </c>
    </row>
    <row r="102" spans="1:24" x14ac:dyDescent="0.25">
      <c r="A102" s="101">
        <v>101</v>
      </c>
      <c r="B102" s="100" t="s">
        <v>2541</v>
      </c>
      <c r="C102" s="104">
        <v>45990</v>
      </c>
      <c r="D102" s="100" t="s">
        <v>2542</v>
      </c>
      <c r="E102" s="106" t="s">
        <v>4129</v>
      </c>
      <c r="F102" s="100" t="s">
        <v>2543</v>
      </c>
      <c r="G102" s="100" t="s">
        <v>2566</v>
      </c>
      <c r="H102" s="100" t="s">
        <v>2581</v>
      </c>
      <c r="I102" s="100">
        <v>1</v>
      </c>
      <c r="J102" s="100">
        <v>1</v>
      </c>
      <c r="L102" s="100" t="s">
        <v>2733</v>
      </c>
      <c r="M102" s="100" t="s">
        <v>173</v>
      </c>
      <c r="N102" s="100" t="s">
        <v>2582</v>
      </c>
      <c r="O102" s="100" t="s">
        <v>2662</v>
      </c>
      <c r="P102" s="100">
        <v>50</v>
      </c>
      <c r="Q102" s="100" t="s">
        <v>37</v>
      </c>
      <c r="R102" s="100" t="str">
        <f>IFERROR(VLOOKUP(Rencontres_N3_PN_Rx[[#This Row],[Code_JA]],tab_JA[#All],3,FALSE)&amp;" "&amp;VLOOKUP(Rencontres_N3_PN_Rx[[#This Row],[Code_JA]],tab_JA[#All],4,FALSE),"")</f>
        <v>ADDE Jean-Paul</v>
      </c>
      <c r="S102" s="101">
        <f>IF(Rencontres_N3_PN_Rx[[#This Row],[Code_JA]]&lt;&gt;"",COUNTIF(Rencontres_N3_PN_Rx[Code_JA],Rencontres_N3_PN_Rx[[#This Row],[Code_JA]]),0)</f>
        <v>3</v>
      </c>
      <c r="T102" s="102">
        <v>0</v>
      </c>
      <c r="U102" s="103">
        <v>30.5</v>
      </c>
      <c r="V102" s="102">
        <f>IF(AND(Rencontres_N3_PN_Rx[[#This Row],[JA à nommer]]="oui",Rencontres_N3_PN_Rx[[#This Row],[Code_JA]]&lt;&gt;""),Rencontres_N3_PN_Rx[[#This Row],[Peages]]+(Rencontres_N3_PN_Rx[[#This Row],[KM_JA]]*0.3)+25,0)</f>
        <v>34.15</v>
      </c>
      <c r="X102" s="102">
        <f>IF(Rencontres_N3_PN_Rx[[#This Row],[defiscal]]="OUI",Rencontres_N3_PN_Rx[[#This Row],[Peages]]+(Rencontres_N3_PN_Rx[[#This Row],[KM_JA]]*0.3),0)</f>
        <v>0</v>
      </c>
    </row>
    <row r="103" spans="1:24" x14ac:dyDescent="0.25">
      <c r="A103" s="101">
        <v>102</v>
      </c>
      <c r="B103" s="100" t="s">
        <v>2541</v>
      </c>
      <c r="C103" s="104">
        <v>45990</v>
      </c>
      <c r="D103" s="100" t="s">
        <v>2542</v>
      </c>
      <c r="E103" s="106" t="s">
        <v>4129</v>
      </c>
      <c r="F103" s="100" t="s">
        <v>2543</v>
      </c>
      <c r="G103" s="100" t="s">
        <v>2566</v>
      </c>
      <c r="H103" s="100" t="s">
        <v>2581</v>
      </c>
      <c r="I103" s="100">
        <v>2</v>
      </c>
      <c r="J103" s="100">
        <v>1</v>
      </c>
      <c r="L103" s="100" t="s">
        <v>2733</v>
      </c>
      <c r="M103" s="100" t="s">
        <v>854</v>
      </c>
      <c r="N103" s="100" t="s">
        <v>2589</v>
      </c>
      <c r="O103" s="100" t="s">
        <v>2665</v>
      </c>
      <c r="P103" s="100">
        <v>50</v>
      </c>
      <c r="Q103" s="100" t="s">
        <v>201</v>
      </c>
      <c r="R103" s="100" t="str">
        <f>IFERROR(VLOOKUP(Rencontres_N3_PN_Rx[[#This Row],[Code_JA]],tab_JA[#All],3,FALSE)&amp;" "&amp;VLOOKUP(Rencontres_N3_PN_Rx[[#This Row],[Code_JA]],tab_JA[#All],4,FALSE),"")</f>
        <v>BENARD Christophe</v>
      </c>
      <c r="S103" s="101">
        <f>IF(Rencontres_N3_PN_Rx[[#This Row],[Code_JA]]&lt;&gt;"",COUNTIF(Rencontres_N3_PN_Rx[Code_JA],Rencontres_N3_PN_Rx[[#This Row],[Code_JA]]),0)</f>
        <v>3</v>
      </c>
      <c r="T103" s="102">
        <v>0</v>
      </c>
      <c r="U103" s="103">
        <v>50</v>
      </c>
      <c r="V103" s="102">
        <f>IF(AND(Rencontres_N3_PN_Rx[[#This Row],[JA à nommer]]="oui",Rencontres_N3_PN_Rx[[#This Row],[Code_JA]]&lt;&gt;""),Rencontres_N3_PN_Rx[[#This Row],[Peages]]+(Rencontres_N3_PN_Rx[[#This Row],[KM_JA]]*0.3)+25,0)</f>
        <v>40</v>
      </c>
      <c r="X103" s="102">
        <f>IF(Rencontres_N3_PN_Rx[[#This Row],[defiscal]]="OUI",Rencontres_N3_PN_Rx[[#This Row],[Peages]]+(Rencontres_N3_PN_Rx[[#This Row],[KM_JA]]*0.3),0)</f>
        <v>0</v>
      </c>
    </row>
    <row r="104" spans="1:24" x14ac:dyDescent="0.25">
      <c r="A104" s="101">
        <v>103</v>
      </c>
      <c r="B104" s="100" t="s">
        <v>2541</v>
      </c>
      <c r="C104" s="104">
        <v>45990</v>
      </c>
      <c r="D104" s="100" t="s">
        <v>2542</v>
      </c>
      <c r="E104" s="106" t="s">
        <v>4129</v>
      </c>
      <c r="F104" s="100" t="s">
        <v>2543</v>
      </c>
      <c r="G104" s="100" t="s">
        <v>2566</v>
      </c>
      <c r="H104" s="100" t="s">
        <v>2600</v>
      </c>
      <c r="I104" s="100">
        <v>1</v>
      </c>
      <c r="J104" s="100">
        <v>1</v>
      </c>
      <c r="L104" s="100" t="s">
        <v>2733</v>
      </c>
      <c r="M104" s="100" t="s">
        <v>145</v>
      </c>
      <c r="N104" s="100" t="s">
        <v>2601</v>
      </c>
      <c r="O104" s="100" t="s">
        <v>2605</v>
      </c>
      <c r="P104" s="100">
        <v>50</v>
      </c>
      <c r="Q104" s="100" t="s">
        <v>1786</v>
      </c>
      <c r="R104" s="100" t="str">
        <f>IFERROR(VLOOKUP(Rencontres_N3_PN_Rx[[#This Row],[Code_JA]],tab_JA[#All],3,FALSE)&amp;" "&amp;VLOOKUP(Rencontres_N3_PN_Rx[[#This Row],[Code_JA]],tab_JA[#All],4,FALSE),"")</f>
        <v>LETENDRE Brigitte</v>
      </c>
      <c r="S104" s="101">
        <f>IF(Rencontres_N3_PN_Rx[[#This Row],[Code_JA]]&lt;&gt;"",COUNTIF(Rencontres_N3_PN_Rx[Code_JA],Rencontres_N3_PN_Rx[[#This Row],[Code_JA]]),0)</f>
        <v>6</v>
      </c>
      <c r="T104" s="102">
        <v>0</v>
      </c>
      <c r="U104" s="103">
        <v>50</v>
      </c>
      <c r="V104" s="102">
        <f>IF(AND(Rencontres_N3_PN_Rx[[#This Row],[JA à nommer]]="oui",Rencontres_N3_PN_Rx[[#This Row],[Code_JA]]&lt;&gt;""),Rencontres_N3_PN_Rx[[#This Row],[Peages]]+(Rencontres_N3_PN_Rx[[#This Row],[KM_JA]]*0.3)+25,0)</f>
        <v>40</v>
      </c>
      <c r="X104" s="102">
        <f>IF(Rencontres_N3_PN_Rx[[#This Row],[defiscal]]="OUI",Rencontres_N3_PN_Rx[[#This Row],[Peages]]+(Rencontres_N3_PN_Rx[[#This Row],[KM_JA]]*0.3),0)</f>
        <v>0</v>
      </c>
    </row>
    <row r="105" spans="1:24" x14ac:dyDescent="0.25">
      <c r="A105" s="101">
        <v>104</v>
      </c>
      <c r="B105" s="100" t="s">
        <v>2541</v>
      </c>
      <c r="C105" s="104">
        <v>45990</v>
      </c>
      <c r="D105" s="100" t="s">
        <v>2542</v>
      </c>
      <c r="E105" s="106" t="s">
        <v>4128</v>
      </c>
      <c r="F105" s="100" t="s">
        <v>2543</v>
      </c>
      <c r="G105" s="100" t="s">
        <v>2566</v>
      </c>
      <c r="H105" s="100" t="s">
        <v>2600</v>
      </c>
      <c r="I105" s="100">
        <v>2</v>
      </c>
      <c r="J105" s="100">
        <v>1</v>
      </c>
      <c r="L105" s="100" t="s">
        <v>2733</v>
      </c>
      <c r="M105" s="100" t="s">
        <v>246</v>
      </c>
      <c r="N105" s="100" t="s">
        <v>2610</v>
      </c>
      <c r="O105" s="100" t="s">
        <v>2614</v>
      </c>
      <c r="P105" s="100">
        <v>50</v>
      </c>
      <c r="Q105" s="100" t="s">
        <v>3272</v>
      </c>
      <c r="R105" s="100" t="str">
        <f>IFERROR(VLOOKUP(Rencontres_N3_PN_Rx[[#This Row],[Code_JA]],tab_JA[#All],3,FALSE)&amp;" "&amp;VLOOKUP(Rencontres_N3_PN_Rx[[#This Row],[Code_JA]],tab_JA[#All],4,FALSE),"")</f>
        <v>BINARD Mathis</v>
      </c>
      <c r="S105" s="101">
        <f>IF(Rencontres_N3_PN_Rx[[#This Row],[Code_JA]]&lt;&gt;"",COUNTIF(Rencontres_N3_PN_Rx[Code_JA],Rencontres_N3_PN_Rx[[#This Row],[Code_JA]]),0)</f>
        <v>5</v>
      </c>
      <c r="T105" s="102">
        <v>0</v>
      </c>
      <c r="U105" s="103">
        <v>0</v>
      </c>
      <c r="V105" s="102">
        <f>IF(AND(Rencontres_N3_PN_Rx[[#This Row],[JA à nommer]]="oui",Rencontres_N3_PN_Rx[[#This Row],[Code_JA]]&lt;&gt;""),Rencontres_N3_PN_Rx[[#This Row],[Peages]]+(Rencontres_N3_PN_Rx[[#This Row],[KM_JA]]*0.3)+25,0)</f>
        <v>0</v>
      </c>
      <c r="X105" s="102">
        <f>IF(Rencontres_N3_PN_Rx[[#This Row],[defiscal]]="OUI",Rencontres_N3_PN_Rx[[#This Row],[Peages]]+(Rencontres_N3_PN_Rx[[#This Row],[KM_JA]]*0.3),0)</f>
        <v>0</v>
      </c>
    </row>
    <row r="106" spans="1:24" x14ac:dyDescent="0.25">
      <c r="A106" s="101">
        <v>105</v>
      </c>
      <c r="B106" s="100" t="s">
        <v>2541</v>
      </c>
      <c r="C106" s="104">
        <v>45990</v>
      </c>
      <c r="D106" s="100" t="s">
        <v>2542</v>
      </c>
      <c r="E106" s="106" t="s">
        <v>4128</v>
      </c>
      <c r="F106" s="100" t="s">
        <v>2543</v>
      </c>
      <c r="G106" s="100" t="s">
        <v>2566</v>
      </c>
      <c r="H106" s="100" t="s">
        <v>2600</v>
      </c>
      <c r="I106" s="100">
        <v>2</v>
      </c>
      <c r="J106" s="100">
        <v>1</v>
      </c>
      <c r="L106" s="100" t="s">
        <v>2733</v>
      </c>
      <c r="M106" s="100" t="s">
        <v>294</v>
      </c>
      <c r="N106" s="100" t="s">
        <v>2608</v>
      </c>
      <c r="O106" s="100" t="s">
        <v>2612</v>
      </c>
      <c r="P106" s="100">
        <v>50</v>
      </c>
      <c r="Q106" s="100" t="s">
        <v>286</v>
      </c>
      <c r="R106" s="100" t="str">
        <f>IFERROR(VLOOKUP(Rencontres_N3_PN_Rx[[#This Row],[Code_JA]],tab_JA[#All],3,FALSE)&amp;" "&amp;VLOOKUP(Rencontres_N3_PN_Rx[[#This Row],[Code_JA]],tab_JA[#All],4,FALSE),"")</f>
        <v>BOUCHE Nathalie</v>
      </c>
      <c r="S106" s="101">
        <f>IF(Rencontres_N3_PN_Rx[[#This Row],[Code_JA]]&lt;&gt;"",COUNTIF(Rencontres_N3_PN_Rx[Code_JA],Rencontres_N3_PN_Rx[[#This Row],[Code_JA]]),0)</f>
        <v>4</v>
      </c>
      <c r="T106" s="102">
        <v>0</v>
      </c>
      <c r="U106" s="103">
        <v>0</v>
      </c>
      <c r="V106" s="102">
        <f>IF(AND(Rencontres_N3_PN_Rx[[#This Row],[JA à nommer]]="oui",Rencontres_N3_PN_Rx[[#This Row],[Code_JA]]&lt;&gt;""),Rencontres_N3_PN_Rx[[#This Row],[Peages]]+(Rencontres_N3_PN_Rx[[#This Row],[KM_JA]]*0.3)+25,0)</f>
        <v>0</v>
      </c>
      <c r="X106" s="102">
        <f>IF(Rencontres_N3_PN_Rx[[#This Row],[defiscal]]="OUI",Rencontres_N3_PN_Rx[[#This Row],[Peages]]+(Rencontres_N3_PN_Rx[[#This Row],[KM_JA]]*0.3),0)</f>
        <v>0</v>
      </c>
    </row>
    <row r="107" spans="1:24" x14ac:dyDescent="0.25">
      <c r="A107" s="101">
        <v>106</v>
      </c>
      <c r="B107" s="100" t="s">
        <v>2541</v>
      </c>
      <c r="C107" s="104">
        <v>45990</v>
      </c>
      <c r="D107" s="100" t="s">
        <v>2542</v>
      </c>
      <c r="E107" s="106" t="s">
        <v>4129</v>
      </c>
      <c r="F107" s="100" t="s">
        <v>2543</v>
      </c>
      <c r="G107" s="100" t="s">
        <v>2566</v>
      </c>
      <c r="H107" s="100" t="s">
        <v>2600</v>
      </c>
      <c r="I107" s="100">
        <v>3</v>
      </c>
      <c r="J107" s="100">
        <v>1</v>
      </c>
      <c r="L107" s="100" t="s">
        <v>2733</v>
      </c>
      <c r="M107" s="100" t="s">
        <v>173</v>
      </c>
      <c r="N107" s="100" t="s">
        <v>2615</v>
      </c>
      <c r="O107" s="100" t="s">
        <v>2621</v>
      </c>
      <c r="P107" s="100">
        <v>50</v>
      </c>
      <c r="Q107" s="100" t="s">
        <v>37</v>
      </c>
      <c r="R107" s="100" t="str">
        <f>IFERROR(VLOOKUP(Rencontres_N3_PN_Rx[[#This Row],[Code_JA]],tab_JA[#All],3,FALSE)&amp;" "&amp;VLOOKUP(Rencontres_N3_PN_Rx[[#This Row],[Code_JA]],tab_JA[#All],4,FALSE),"")</f>
        <v>ADDE Jean-Paul</v>
      </c>
      <c r="S107" s="101">
        <f>IF(Rencontres_N3_PN_Rx[[#This Row],[Code_JA]]&lt;&gt;"",COUNTIF(Rencontres_N3_PN_Rx[Code_JA],Rencontres_N3_PN_Rx[[#This Row],[Code_JA]]),0)</f>
        <v>3</v>
      </c>
      <c r="T107" s="102">
        <v>0</v>
      </c>
      <c r="U107" s="103">
        <v>30.5</v>
      </c>
      <c r="V107" s="102">
        <f>IF(AND(Rencontres_N3_PN_Rx[[#This Row],[JA à nommer]]="oui",Rencontres_N3_PN_Rx[[#This Row],[Code_JA]]&lt;&gt;""),Rencontres_N3_PN_Rx[[#This Row],[Peages]]+(Rencontres_N3_PN_Rx[[#This Row],[KM_JA]]*0.3)+25,0)</f>
        <v>34.15</v>
      </c>
      <c r="X107" s="102">
        <f>IF(Rencontres_N3_PN_Rx[[#This Row],[defiscal]]="OUI",Rencontres_N3_PN_Rx[[#This Row],[Peages]]+(Rencontres_N3_PN_Rx[[#This Row],[KM_JA]]*0.3),0)</f>
        <v>0</v>
      </c>
    </row>
    <row r="108" spans="1:24" x14ac:dyDescent="0.25">
      <c r="A108" s="101">
        <v>107</v>
      </c>
      <c r="B108" s="100" t="s">
        <v>2541</v>
      </c>
      <c r="C108" s="104">
        <v>45990</v>
      </c>
      <c r="D108" s="100" t="s">
        <v>2542</v>
      </c>
      <c r="E108" s="106" t="s">
        <v>4128</v>
      </c>
      <c r="F108" s="100" t="s">
        <v>2543</v>
      </c>
      <c r="G108" s="100" t="s">
        <v>2566</v>
      </c>
      <c r="H108" s="100" t="s">
        <v>2600</v>
      </c>
      <c r="I108" s="100">
        <v>3</v>
      </c>
      <c r="J108" s="100">
        <v>1</v>
      </c>
      <c r="L108" s="100" t="s">
        <v>2733</v>
      </c>
      <c r="M108" s="100" t="s">
        <v>1961</v>
      </c>
      <c r="N108" s="100" t="s">
        <v>2618</v>
      </c>
      <c r="O108" s="100" t="s">
        <v>2622</v>
      </c>
      <c r="P108" s="100">
        <v>50</v>
      </c>
      <c r="Q108" s="100" t="s">
        <v>1953</v>
      </c>
      <c r="R108" s="100" t="str">
        <f>IFERROR(VLOOKUP(Rencontres_N3_PN_Rx[[#This Row],[Code_JA]],tab_JA[#All],3,FALSE)&amp;" "&amp;VLOOKUP(Rencontres_N3_PN_Rx[[#This Row],[Code_JA]],tab_JA[#All],4,FALSE),"")</f>
        <v>MARIE Jerome</v>
      </c>
      <c r="S108" s="101">
        <f>IF(Rencontres_N3_PN_Rx[[#This Row],[Code_JA]]&lt;&gt;"",COUNTIF(Rencontres_N3_PN_Rx[Code_JA],Rencontres_N3_PN_Rx[[#This Row],[Code_JA]]),0)</f>
        <v>2</v>
      </c>
      <c r="T108" s="102">
        <v>0</v>
      </c>
      <c r="U108" s="103">
        <v>0</v>
      </c>
      <c r="V108" s="102">
        <f>IF(AND(Rencontres_N3_PN_Rx[[#This Row],[JA à nommer]]="oui",Rencontres_N3_PN_Rx[[#This Row],[Code_JA]]&lt;&gt;""),Rencontres_N3_PN_Rx[[#This Row],[Peages]]+(Rencontres_N3_PN_Rx[[#This Row],[KM_JA]]*0.3)+25,0)</f>
        <v>0</v>
      </c>
      <c r="X108" s="102">
        <f>IF(Rencontres_N3_PN_Rx[[#This Row],[defiscal]]="OUI",Rencontres_N3_PN_Rx[[#This Row],[Peages]]+(Rencontres_N3_PN_Rx[[#This Row],[KM_JA]]*0.3),0)</f>
        <v>0</v>
      </c>
    </row>
    <row r="109" spans="1:24" x14ac:dyDescent="0.25">
      <c r="A109" s="101">
        <v>108</v>
      </c>
      <c r="B109" s="100" t="s">
        <v>2541</v>
      </c>
      <c r="C109" s="104">
        <v>45990</v>
      </c>
      <c r="D109" s="100" t="s">
        <v>2542</v>
      </c>
      <c r="E109" s="106" t="s">
        <v>4128</v>
      </c>
      <c r="F109" s="100" t="s">
        <v>2543</v>
      </c>
      <c r="G109" s="100" t="s">
        <v>2566</v>
      </c>
      <c r="H109" s="100" t="s">
        <v>2600</v>
      </c>
      <c r="I109" s="100">
        <v>3</v>
      </c>
      <c r="J109" s="100">
        <v>1</v>
      </c>
      <c r="L109" s="100" t="s">
        <v>2733</v>
      </c>
      <c r="M109" s="100" t="s">
        <v>1179</v>
      </c>
      <c r="N109" s="100" t="s">
        <v>2616</v>
      </c>
      <c r="O109" s="100" t="s">
        <v>2620</v>
      </c>
      <c r="P109" s="100">
        <v>50</v>
      </c>
      <c r="Q109" s="100" t="s">
        <v>1441</v>
      </c>
      <c r="R109" s="100" t="str">
        <f>IFERROR(VLOOKUP(Rencontres_N3_PN_Rx[[#This Row],[Code_JA]],tab_JA[#All],3,FALSE)&amp;" "&amp;VLOOKUP(Rencontres_N3_PN_Rx[[#This Row],[Code_JA]],tab_JA[#All],4,FALSE),"")</f>
        <v>LAVIGNE Francois</v>
      </c>
      <c r="S109" s="101">
        <f>IF(Rencontres_N3_PN_Rx[[#This Row],[Code_JA]]&lt;&gt;"",COUNTIF(Rencontres_N3_PN_Rx[Code_JA],Rencontres_N3_PN_Rx[[#This Row],[Code_JA]]),0)</f>
        <v>2</v>
      </c>
      <c r="T109" s="102">
        <v>0</v>
      </c>
      <c r="U109" s="103">
        <v>0</v>
      </c>
      <c r="V109" s="102">
        <f>IF(AND(Rencontres_N3_PN_Rx[[#This Row],[JA à nommer]]="oui",Rencontres_N3_PN_Rx[[#This Row],[Code_JA]]&lt;&gt;""),Rencontres_N3_PN_Rx[[#This Row],[Peages]]+(Rencontres_N3_PN_Rx[[#This Row],[KM_JA]]*0.3)+25,0)</f>
        <v>0</v>
      </c>
      <c r="X109" s="102">
        <f>IF(Rencontres_N3_PN_Rx[[#This Row],[defiscal]]="OUI",Rencontres_N3_PN_Rx[[#This Row],[Peages]]+(Rencontres_N3_PN_Rx[[#This Row],[KM_JA]]*0.3),0)</f>
        <v>0</v>
      </c>
    </row>
    <row r="110" spans="1:24" x14ac:dyDescent="0.25">
      <c r="A110" s="101">
        <v>109</v>
      </c>
      <c r="B110" s="100" t="s">
        <v>2541</v>
      </c>
      <c r="C110" s="104">
        <v>45990</v>
      </c>
      <c r="D110" s="100" t="s">
        <v>2542</v>
      </c>
      <c r="E110" s="106" t="s">
        <v>4129</v>
      </c>
      <c r="F110" s="100" t="s">
        <v>2543</v>
      </c>
      <c r="G110" s="100" t="s">
        <v>2566</v>
      </c>
      <c r="H110" s="100" t="s">
        <v>2600</v>
      </c>
      <c r="I110" s="100">
        <v>4</v>
      </c>
      <c r="J110" s="100">
        <v>1</v>
      </c>
      <c r="L110" s="100" t="s">
        <v>2733</v>
      </c>
      <c r="M110" s="100" t="s">
        <v>1533</v>
      </c>
      <c r="N110" s="100" t="s">
        <v>2626</v>
      </c>
      <c r="O110" s="100" t="s">
        <v>2630</v>
      </c>
      <c r="P110" s="100">
        <v>50</v>
      </c>
      <c r="Q110" s="100" t="s">
        <v>1524</v>
      </c>
      <c r="R110" s="100" t="str">
        <f>IFERROR(VLOOKUP(Rencontres_N3_PN_Rx[[#This Row],[Code_JA]],tab_JA[#All],3,FALSE)&amp;" "&amp;VLOOKUP(Rencontres_N3_PN_Rx[[#This Row],[Code_JA]],tab_JA[#All],4,FALSE),"")</f>
        <v>LEBOURG Norbert</v>
      </c>
      <c r="S110" s="101">
        <f>IF(Rencontres_N3_PN_Rx[[#This Row],[Code_JA]]&lt;&gt;"",COUNTIF(Rencontres_N3_PN_Rx[Code_JA],Rencontres_N3_PN_Rx[[#This Row],[Code_JA]]),0)</f>
        <v>2</v>
      </c>
      <c r="T110" s="102">
        <v>0</v>
      </c>
      <c r="U110" s="103">
        <v>8</v>
      </c>
      <c r="V110" s="102">
        <f>IF(AND(Rencontres_N3_PN_Rx[[#This Row],[JA à nommer]]="oui",Rencontres_N3_PN_Rx[[#This Row],[Code_JA]]&lt;&gt;""),Rencontres_N3_PN_Rx[[#This Row],[Peages]]+(Rencontres_N3_PN_Rx[[#This Row],[KM_JA]]*0.3)+25,0)</f>
        <v>27.4</v>
      </c>
      <c r="X110" s="102">
        <f>IF(Rencontres_N3_PN_Rx[[#This Row],[defiscal]]="OUI",Rencontres_N3_PN_Rx[[#This Row],[Peages]]+(Rencontres_N3_PN_Rx[[#This Row],[KM_JA]]*0.3),0)</f>
        <v>0</v>
      </c>
    </row>
    <row r="111" spans="1:24" x14ac:dyDescent="0.25">
      <c r="A111" s="101">
        <v>110</v>
      </c>
      <c r="B111" s="100" t="s">
        <v>2541</v>
      </c>
      <c r="C111" s="104">
        <v>45990</v>
      </c>
      <c r="D111" s="100" t="s">
        <v>2542</v>
      </c>
      <c r="E111" s="106" t="s">
        <v>4128</v>
      </c>
      <c r="F111" s="100" t="s">
        <v>2543</v>
      </c>
      <c r="G111" s="100" t="s">
        <v>2566</v>
      </c>
      <c r="H111" s="100" t="s">
        <v>2631</v>
      </c>
      <c r="I111" s="100">
        <v>1</v>
      </c>
      <c r="J111" s="100">
        <v>1</v>
      </c>
      <c r="L111" s="100" t="s">
        <v>2733</v>
      </c>
      <c r="M111" s="100" t="s">
        <v>1364</v>
      </c>
      <c r="N111" s="100" t="s">
        <v>2633</v>
      </c>
      <c r="O111" s="100" t="s">
        <v>2635</v>
      </c>
      <c r="P111" s="100">
        <v>50</v>
      </c>
      <c r="Q111" s="100" t="s">
        <v>3296</v>
      </c>
      <c r="R111" s="100" t="str">
        <f>IFERROR(VLOOKUP(Rencontres_N3_PN_Rx[[#This Row],[Code_JA]],tab_JA[#All],3,FALSE)&amp;" "&amp;VLOOKUP(Rencontres_N3_PN_Rx[[#This Row],[Code_JA]],tab_JA[#All],4,FALSE),"")</f>
        <v>JOUIN JEHAN Corentin</v>
      </c>
      <c r="S111" s="101">
        <f>IF(Rencontres_N3_PN_Rx[[#This Row],[Code_JA]]&lt;&gt;"",COUNTIF(Rencontres_N3_PN_Rx[Code_JA],Rencontres_N3_PN_Rx[[#This Row],[Code_JA]]),0)</f>
        <v>9</v>
      </c>
      <c r="T111" s="102">
        <v>0</v>
      </c>
      <c r="U111" s="103">
        <v>0</v>
      </c>
      <c r="V111" s="102">
        <f>IF(AND(Rencontres_N3_PN_Rx[[#This Row],[JA à nommer]]="oui",Rencontres_N3_PN_Rx[[#This Row],[Code_JA]]&lt;&gt;""),Rencontres_N3_PN_Rx[[#This Row],[Peages]]+(Rencontres_N3_PN_Rx[[#This Row],[KM_JA]]*0.3)+25,0)</f>
        <v>0</v>
      </c>
      <c r="X111" s="102">
        <f>IF(Rencontres_N3_PN_Rx[[#This Row],[defiscal]]="OUI",Rencontres_N3_PN_Rx[[#This Row],[Peages]]+(Rencontres_N3_PN_Rx[[#This Row],[KM_JA]]*0.3),0)</f>
        <v>0</v>
      </c>
    </row>
    <row r="112" spans="1:24" x14ac:dyDescent="0.25">
      <c r="A112" s="101">
        <v>111</v>
      </c>
      <c r="B112" s="100" t="s">
        <v>2541</v>
      </c>
      <c r="C112" s="104">
        <v>45990</v>
      </c>
      <c r="D112" s="100" t="s">
        <v>2542</v>
      </c>
      <c r="E112" s="106" t="s">
        <v>4128</v>
      </c>
      <c r="F112" s="100" t="s">
        <v>2543</v>
      </c>
      <c r="G112" s="100" t="s">
        <v>2566</v>
      </c>
      <c r="H112" s="100" t="s">
        <v>2631</v>
      </c>
      <c r="I112" s="100">
        <v>2</v>
      </c>
      <c r="J112" s="100">
        <v>1</v>
      </c>
      <c r="L112" s="100" t="s">
        <v>2733</v>
      </c>
      <c r="M112" s="100" t="s">
        <v>813</v>
      </c>
      <c r="N112" s="100" t="s">
        <v>2638</v>
      </c>
      <c r="O112" s="100" t="s">
        <v>2640</v>
      </c>
      <c r="P112" s="100">
        <v>50</v>
      </c>
      <c r="Q112" s="100" t="s">
        <v>805</v>
      </c>
      <c r="R112" s="100" t="str">
        <f>IFERROR(VLOOKUP(Rencontres_N3_PN_Rx[[#This Row],[Code_JA]],tab_JA[#All],3,FALSE)&amp;" "&amp;VLOOKUP(Rencontres_N3_PN_Rx[[#This Row],[Code_JA]],tab_JA[#All],4,FALSE),"")</f>
        <v>DELEURME Stephane</v>
      </c>
      <c r="S112" s="101">
        <f>IF(Rencontres_N3_PN_Rx[[#This Row],[Code_JA]]&lt;&gt;"",COUNTIF(Rencontres_N3_PN_Rx[Code_JA],Rencontres_N3_PN_Rx[[#This Row],[Code_JA]]),0)</f>
        <v>3</v>
      </c>
      <c r="T112" s="102">
        <v>0</v>
      </c>
      <c r="U112" s="103">
        <v>0</v>
      </c>
      <c r="V112" s="102">
        <f>IF(AND(Rencontres_N3_PN_Rx[[#This Row],[JA à nommer]]="oui",Rencontres_N3_PN_Rx[[#This Row],[Code_JA]]&lt;&gt;""),Rencontres_N3_PN_Rx[[#This Row],[Peages]]+(Rencontres_N3_PN_Rx[[#This Row],[KM_JA]]*0.3)+25,0)</f>
        <v>0</v>
      </c>
      <c r="X112" s="102">
        <f>IF(Rencontres_N3_PN_Rx[[#This Row],[defiscal]]="OUI",Rencontres_N3_PN_Rx[[#This Row],[Peages]]+(Rencontres_N3_PN_Rx[[#This Row],[KM_JA]]*0.3),0)</f>
        <v>0</v>
      </c>
    </row>
    <row r="113" spans="1:24" x14ac:dyDescent="0.25">
      <c r="A113" s="101">
        <v>112</v>
      </c>
      <c r="B113" s="100" t="s">
        <v>2541</v>
      </c>
      <c r="C113" s="104">
        <v>45990</v>
      </c>
      <c r="D113" s="100" t="s">
        <v>2542</v>
      </c>
      <c r="E113" s="106" t="s">
        <v>4128</v>
      </c>
      <c r="F113" s="100" t="s">
        <v>2543</v>
      </c>
      <c r="G113" s="100" t="s">
        <v>2566</v>
      </c>
      <c r="H113" s="100" t="s">
        <v>2631</v>
      </c>
      <c r="I113" s="100">
        <v>2</v>
      </c>
      <c r="J113" s="100">
        <v>1</v>
      </c>
      <c r="L113" s="100" t="s">
        <v>2733</v>
      </c>
      <c r="M113" s="100" t="s">
        <v>707</v>
      </c>
      <c r="N113" s="100" t="s">
        <v>2639</v>
      </c>
      <c r="O113" s="100" t="s">
        <v>2643</v>
      </c>
      <c r="P113" s="100">
        <v>50</v>
      </c>
      <c r="Q113" s="100" t="s">
        <v>2395</v>
      </c>
      <c r="R113" s="100" t="str">
        <f>IFERROR(VLOOKUP(Rencontres_N3_PN_Rx[[#This Row],[Code_JA]],tab_JA[#All],3,FALSE)&amp;" "&amp;VLOOKUP(Rencontres_N3_PN_Rx[[#This Row],[Code_JA]],tab_JA[#All],4,FALSE),"")</f>
        <v>TRAVES Annie</v>
      </c>
      <c r="S113" s="101">
        <f>IF(Rencontres_N3_PN_Rx[[#This Row],[Code_JA]]&lt;&gt;"",COUNTIF(Rencontres_N3_PN_Rx[Code_JA],Rencontres_N3_PN_Rx[[#This Row],[Code_JA]]),0)</f>
        <v>7</v>
      </c>
      <c r="T113" s="102">
        <v>0</v>
      </c>
      <c r="U113" s="103">
        <v>0</v>
      </c>
      <c r="V113" s="102">
        <f>IF(AND(Rencontres_N3_PN_Rx[[#This Row],[JA à nommer]]="oui",Rencontres_N3_PN_Rx[[#This Row],[Code_JA]]&lt;&gt;""),Rencontres_N3_PN_Rx[[#This Row],[Peages]]+(Rencontres_N3_PN_Rx[[#This Row],[KM_JA]]*0.3)+25,0)</f>
        <v>0</v>
      </c>
      <c r="X113" s="102">
        <f>IF(Rencontres_N3_PN_Rx[[#This Row],[defiscal]]="OUI",Rencontres_N3_PN_Rx[[#This Row],[Peages]]+(Rencontres_N3_PN_Rx[[#This Row],[KM_JA]]*0.3),0)</f>
        <v>0</v>
      </c>
    </row>
    <row r="114" spans="1:24" x14ac:dyDescent="0.25">
      <c r="A114" s="101">
        <v>113</v>
      </c>
      <c r="B114" s="100" t="s">
        <v>2541</v>
      </c>
      <c r="C114" s="104">
        <v>45990</v>
      </c>
      <c r="D114" s="100" t="s">
        <v>2542</v>
      </c>
      <c r="E114" s="106" t="s">
        <v>4128</v>
      </c>
      <c r="F114" s="100" t="s">
        <v>2543</v>
      </c>
      <c r="G114" s="100" t="s">
        <v>2566</v>
      </c>
      <c r="H114" s="100" t="s">
        <v>2631</v>
      </c>
      <c r="I114" s="100">
        <v>2</v>
      </c>
      <c r="J114" s="100">
        <v>1</v>
      </c>
      <c r="L114" s="100" t="s">
        <v>2733</v>
      </c>
      <c r="M114" s="100" t="s">
        <v>294</v>
      </c>
      <c r="N114" s="100" t="s">
        <v>2673</v>
      </c>
      <c r="O114" s="100" t="s">
        <v>2641</v>
      </c>
      <c r="P114" s="100">
        <v>50</v>
      </c>
      <c r="Q114" s="100" t="s">
        <v>286</v>
      </c>
      <c r="R114" s="100" t="str">
        <f>IFERROR(VLOOKUP(Rencontres_N3_PN_Rx[[#This Row],[Code_JA]],tab_JA[#All],3,FALSE)&amp;" "&amp;VLOOKUP(Rencontres_N3_PN_Rx[[#This Row],[Code_JA]],tab_JA[#All],4,FALSE),"")</f>
        <v>BOUCHE Nathalie</v>
      </c>
      <c r="S114" s="101">
        <f>IF(Rencontres_N3_PN_Rx[[#This Row],[Code_JA]]&lt;&gt;"",COUNTIF(Rencontres_N3_PN_Rx[Code_JA],Rencontres_N3_PN_Rx[[#This Row],[Code_JA]]),0)</f>
        <v>4</v>
      </c>
      <c r="T114" s="102">
        <v>0</v>
      </c>
      <c r="U114" s="103">
        <v>0</v>
      </c>
      <c r="V114" s="102">
        <f>IF(AND(Rencontres_N3_PN_Rx[[#This Row],[JA à nommer]]="oui",Rencontres_N3_PN_Rx[[#This Row],[Code_JA]]&lt;&gt;""),Rencontres_N3_PN_Rx[[#This Row],[Peages]]+(Rencontres_N3_PN_Rx[[#This Row],[KM_JA]]*0.3)+25,0)</f>
        <v>0</v>
      </c>
      <c r="X114" s="102">
        <f>IF(Rencontres_N3_PN_Rx[[#This Row],[defiscal]]="OUI",Rencontres_N3_PN_Rx[[#This Row],[Peages]]+(Rencontres_N3_PN_Rx[[#This Row],[KM_JA]]*0.3),0)</f>
        <v>0</v>
      </c>
    </row>
    <row r="115" spans="1:24" x14ac:dyDescent="0.25">
      <c r="A115" s="101">
        <v>114</v>
      </c>
      <c r="B115" s="100" t="s">
        <v>2541</v>
      </c>
      <c r="C115" s="104">
        <v>45990</v>
      </c>
      <c r="D115" s="100" t="s">
        <v>2542</v>
      </c>
      <c r="E115" s="106" t="s">
        <v>4129</v>
      </c>
      <c r="F115" s="100" t="s">
        <v>2543</v>
      </c>
      <c r="G115" s="100" t="s">
        <v>2566</v>
      </c>
      <c r="H115" s="100" t="s">
        <v>2631</v>
      </c>
      <c r="I115" s="100">
        <v>3</v>
      </c>
      <c r="J115" s="100">
        <v>1</v>
      </c>
      <c r="L115" s="100" t="s">
        <v>2733</v>
      </c>
      <c r="M115" s="100" t="s">
        <v>1682</v>
      </c>
      <c r="N115" s="100" t="s">
        <v>2644</v>
      </c>
      <c r="O115" s="100" t="s">
        <v>2648</v>
      </c>
      <c r="P115" s="100">
        <v>50</v>
      </c>
      <c r="Q115" s="100" t="s">
        <v>2197</v>
      </c>
      <c r="R115" s="100" t="str">
        <f>IFERROR(VLOOKUP(Rencontres_N3_PN_Rx[[#This Row],[Code_JA]],tab_JA[#All],3,FALSE)&amp;" "&amp;VLOOKUP(Rencontres_N3_PN_Rx[[#This Row],[Code_JA]],tab_JA[#All],4,FALSE),"")</f>
        <v>RELET Pascal</v>
      </c>
      <c r="S115" s="101">
        <f>IF(Rencontres_N3_PN_Rx[[#This Row],[Code_JA]]&lt;&gt;"",COUNTIF(Rencontres_N3_PN_Rx[Code_JA],Rencontres_N3_PN_Rx[[#This Row],[Code_JA]]),0)</f>
        <v>9</v>
      </c>
      <c r="T115" s="102">
        <v>0</v>
      </c>
      <c r="U115" s="103">
        <v>0</v>
      </c>
      <c r="V115" s="102">
        <f>IF(AND(Rencontres_N3_PN_Rx[[#This Row],[JA à nommer]]="oui",Rencontres_N3_PN_Rx[[#This Row],[Code_JA]]&lt;&gt;""),Rencontres_N3_PN_Rx[[#This Row],[Peages]]+(Rencontres_N3_PN_Rx[[#This Row],[KM_JA]]*0.3)+25,0)</f>
        <v>25</v>
      </c>
      <c r="X115" s="102">
        <f>IF(Rencontres_N3_PN_Rx[[#This Row],[defiscal]]="OUI",Rencontres_N3_PN_Rx[[#This Row],[Peages]]+(Rencontres_N3_PN_Rx[[#This Row],[KM_JA]]*0.3),0)</f>
        <v>0</v>
      </c>
    </row>
    <row r="116" spans="1:24" x14ac:dyDescent="0.25">
      <c r="A116" s="101">
        <v>115</v>
      </c>
      <c r="B116" s="100" t="s">
        <v>2541</v>
      </c>
      <c r="C116" s="104">
        <v>45990</v>
      </c>
      <c r="D116" s="100" t="s">
        <v>2542</v>
      </c>
      <c r="E116" s="106" t="s">
        <v>4128</v>
      </c>
      <c r="F116" s="100" t="s">
        <v>2543</v>
      </c>
      <c r="G116" s="100" t="s">
        <v>2566</v>
      </c>
      <c r="H116" s="100" t="s">
        <v>2631</v>
      </c>
      <c r="I116" s="100">
        <v>4</v>
      </c>
      <c r="J116" s="100">
        <v>1</v>
      </c>
      <c r="L116" s="100" t="s">
        <v>2733</v>
      </c>
      <c r="M116" s="100" t="s">
        <v>854</v>
      </c>
      <c r="N116" s="100" t="s">
        <v>2651</v>
      </c>
      <c r="O116" s="100" t="s">
        <v>2655</v>
      </c>
      <c r="P116" s="100">
        <v>50</v>
      </c>
      <c r="Q116" s="100" t="s">
        <v>3281</v>
      </c>
      <c r="R116" s="100" t="str">
        <f>IFERROR(VLOOKUP(Rencontres_N3_PN_Rx[[#This Row],[Code_JA]],tab_JA[#All],3,FALSE)&amp;" "&amp;VLOOKUP(Rencontres_N3_PN_Rx[[#This Row],[Code_JA]],tab_JA[#All],4,FALSE),"")</f>
        <v>DESCHAMPS Jean-Marc</v>
      </c>
      <c r="S116" s="101">
        <f>IF(Rencontres_N3_PN_Rx[[#This Row],[Code_JA]]&lt;&gt;"",COUNTIF(Rencontres_N3_PN_Rx[Code_JA],Rencontres_N3_PN_Rx[[#This Row],[Code_JA]]),0)</f>
        <v>4</v>
      </c>
      <c r="T116" s="102">
        <v>0</v>
      </c>
      <c r="U116" s="103">
        <v>0</v>
      </c>
      <c r="V116" s="102">
        <f>IF(AND(Rencontres_N3_PN_Rx[[#This Row],[JA à nommer]]="oui",Rencontres_N3_PN_Rx[[#This Row],[Code_JA]]&lt;&gt;""),Rencontres_N3_PN_Rx[[#This Row],[Peages]]+(Rencontres_N3_PN_Rx[[#This Row],[KM_JA]]*0.3)+25,0)</f>
        <v>0</v>
      </c>
      <c r="X116" s="102">
        <f>IF(Rencontres_N3_PN_Rx[[#This Row],[defiscal]]="OUI",Rencontres_N3_PN_Rx[[#This Row],[Peages]]+(Rencontres_N3_PN_Rx[[#This Row],[KM_JA]]*0.3),0)</f>
        <v>0</v>
      </c>
    </row>
    <row r="117" spans="1:24" x14ac:dyDescent="0.25">
      <c r="A117" s="101">
        <v>116</v>
      </c>
      <c r="B117" s="100" t="s">
        <v>2541</v>
      </c>
      <c r="C117" s="104">
        <v>45990</v>
      </c>
      <c r="D117" s="100" t="s">
        <v>2542</v>
      </c>
      <c r="E117" s="106" t="s">
        <v>4129</v>
      </c>
      <c r="F117" s="100" t="s">
        <v>2544</v>
      </c>
      <c r="G117" s="100" t="s">
        <v>2544</v>
      </c>
      <c r="H117" s="100" t="s">
        <v>2545</v>
      </c>
      <c r="I117" s="100">
        <v>3</v>
      </c>
      <c r="J117" s="100">
        <v>1</v>
      </c>
      <c r="L117" s="100" t="s">
        <v>2733</v>
      </c>
      <c r="M117" s="100" t="s">
        <v>98</v>
      </c>
      <c r="N117" s="100" t="s">
        <v>2720</v>
      </c>
      <c r="O117" s="100" t="s">
        <v>2734</v>
      </c>
      <c r="P117" s="100">
        <v>50</v>
      </c>
      <c r="Q117" s="100" t="s">
        <v>139</v>
      </c>
      <c r="R117" s="100" t="str">
        <f>IFERROR(VLOOKUP(Rencontres_N3_PN_Rx[[#This Row],[Code_JA]],tab_JA[#All],3,FALSE)&amp;" "&amp;VLOOKUP(Rencontres_N3_PN_Rx[[#This Row],[Code_JA]],tab_JA[#All],4,FALSE),"")</f>
        <v>BASTIEN Romain</v>
      </c>
      <c r="S117" s="101">
        <f>IF(Rencontres_N3_PN_Rx[[#This Row],[Code_JA]]&lt;&gt;"",COUNTIF(Rencontres_N3_PN_Rx[Code_JA],Rencontres_N3_PN_Rx[[#This Row],[Code_JA]]),0)</f>
        <v>5</v>
      </c>
      <c r="T117" s="102">
        <v>0</v>
      </c>
      <c r="U117" s="103">
        <v>15</v>
      </c>
      <c r="V117" s="102">
        <f>IF(AND(Rencontres_N3_PN_Rx[[#This Row],[JA à nommer]]="oui",Rencontres_N3_PN_Rx[[#This Row],[Code_JA]]&lt;&gt;""),Rencontres_N3_PN_Rx[[#This Row],[Peages]]+(Rencontres_N3_PN_Rx[[#This Row],[KM_JA]]*0.3)+25,0)</f>
        <v>29.5</v>
      </c>
      <c r="X117" s="102">
        <f>IF(Rencontres_N3_PN_Rx[[#This Row],[defiscal]]="OUI",Rencontres_N3_PN_Rx[[#This Row],[Peages]]+(Rencontres_N3_PN_Rx[[#This Row],[KM_JA]]*0.3),0)</f>
        <v>0</v>
      </c>
    </row>
    <row r="118" spans="1:24" x14ac:dyDescent="0.25">
      <c r="A118" s="101">
        <v>117</v>
      </c>
      <c r="B118" s="100" t="s">
        <v>2541</v>
      </c>
      <c r="C118" s="104">
        <v>45990</v>
      </c>
      <c r="D118" s="100" t="s">
        <v>2542</v>
      </c>
      <c r="E118" s="106" t="s">
        <v>4129</v>
      </c>
      <c r="F118" s="100" t="s">
        <v>2543</v>
      </c>
      <c r="G118" s="100" t="s">
        <v>2544</v>
      </c>
      <c r="H118" s="100" t="s">
        <v>2549</v>
      </c>
      <c r="I118" s="100">
        <v>8</v>
      </c>
      <c r="J118" s="100">
        <v>1</v>
      </c>
      <c r="L118" s="100" t="s">
        <v>2733</v>
      </c>
      <c r="M118" s="100" t="s">
        <v>478</v>
      </c>
      <c r="N118" s="100" t="s">
        <v>2550</v>
      </c>
      <c r="O118" s="100" t="s">
        <v>2735</v>
      </c>
      <c r="P118" s="100">
        <v>50</v>
      </c>
      <c r="Q118" s="100" t="s">
        <v>1150</v>
      </c>
      <c r="R118" s="100" t="str">
        <f>IFERROR(VLOOKUP(Rencontres_N3_PN_Rx[[#This Row],[Code_JA]],tab_JA[#All],3,FALSE)&amp;" "&amp;VLOOKUP(Rencontres_N3_PN_Rx[[#This Row],[Code_JA]],tab_JA[#All],4,FALSE),"")</f>
        <v>GOUTTE Dominique</v>
      </c>
      <c r="S118" s="101">
        <f>IF(Rencontres_N3_PN_Rx[[#This Row],[Code_JA]]&lt;&gt;"",COUNTIF(Rencontres_N3_PN_Rx[Code_JA],Rencontres_N3_PN_Rx[[#This Row],[Code_JA]]),0)</f>
        <v>12</v>
      </c>
      <c r="T118" s="102">
        <v>0</v>
      </c>
      <c r="U118" s="103">
        <v>51</v>
      </c>
      <c r="V118" s="102">
        <f>IF(AND(Rencontres_N3_PN_Rx[[#This Row],[JA à nommer]]="oui",Rencontres_N3_PN_Rx[[#This Row],[Code_JA]]&lt;&gt;""),Rencontres_N3_PN_Rx[[#This Row],[Peages]]+(Rencontres_N3_PN_Rx[[#This Row],[KM_JA]]*0.3)+25,0)</f>
        <v>40.299999999999997</v>
      </c>
      <c r="X118" s="102">
        <f>IF(Rencontres_N3_PN_Rx[[#This Row],[defiscal]]="OUI",Rencontres_N3_PN_Rx[[#This Row],[Peages]]+(Rencontres_N3_PN_Rx[[#This Row],[KM_JA]]*0.3),0)</f>
        <v>0</v>
      </c>
    </row>
    <row r="119" spans="1:24" x14ac:dyDescent="0.25">
      <c r="A119" s="101">
        <v>118</v>
      </c>
      <c r="B119" s="100" t="s">
        <v>2658</v>
      </c>
      <c r="C119" s="104">
        <v>45991</v>
      </c>
      <c r="D119" s="100" t="s">
        <v>2659</v>
      </c>
      <c r="E119" s="106" t="s">
        <v>4129</v>
      </c>
      <c r="F119" s="100" t="s">
        <v>2543</v>
      </c>
      <c r="G119" s="100" t="s">
        <v>2566</v>
      </c>
      <c r="H119" s="100" t="s">
        <v>2581</v>
      </c>
      <c r="I119" s="100">
        <v>1</v>
      </c>
      <c r="J119" s="100">
        <v>1</v>
      </c>
      <c r="L119" s="100" t="s">
        <v>2733</v>
      </c>
      <c r="M119" s="100" t="s">
        <v>45</v>
      </c>
      <c r="N119" s="100" t="s">
        <v>2585</v>
      </c>
      <c r="O119" s="100" t="s">
        <v>2663</v>
      </c>
      <c r="P119" s="100">
        <v>50</v>
      </c>
      <c r="Q119" s="100" t="s">
        <v>1341</v>
      </c>
      <c r="R119" s="100" t="str">
        <f>IFERROR(VLOOKUP(Rencontres_N3_PN_Rx[[#This Row],[Code_JA]],tab_JA[#All],3,FALSE)&amp;" "&amp;VLOOKUP(Rencontres_N3_PN_Rx[[#This Row],[Code_JA]],tab_JA[#All],4,FALSE),"")</f>
        <v>JOLITON Philippe</v>
      </c>
      <c r="S119" s="101">
        <f>IF(Rencontres_N3_PN_Rx[[#This Row],[Code_JA]]&lt;&gt;"",COUNTIF(Rencontres_N3_PN_Rx[Code_JA],Rencontres_N3_PN_Rx[[#This Row],[Code_JA]]),0)</f>
        <v>2</v>
      </c>
      <c r="T119" s="102">
        <v>0</v>
      </c>
      <c r="U119" s="103">
        <v>60</v>
      </c>
      <c r="V119" s="102">
        <f>IF(AND(Rencontres_N3_PN_Rx[[#This Row],[JA à nommer]]="oui",Rencontres_N3_PN_Rx[[#This Row],[Code_JA]]&lt;&gt;""),Rencontres_N3_PN_Rx[[#This Row],[Peages]]+(Rencontres_N3_PN_Rx[[#This Row],[KM_JA]]*0.3)+25,0)</f>
        <v>43</v>
      </c>
      <c r="X119" s="102">
        <f>IF(Rencontres_N3_PN_Rx[[#This Row],[defiscal]]="OUI",Rencontres_N3_PN_Rx[[#This Row],[Peages]]+(Rencontres_N3_PN_Rx[[#This Row],[KM_JA]]*0.3),0)</f>
        <v>0</v>
      </c>
    </row>
    <row r="120" spans="1:24" x14ac:dyDescent="0.25">
      <c r="A120" s="101">
        <v>119</v>
      </c>
      <c r="B120" s="100" t="s">
        <v>2658</v>
      </c>
      <c r="C120" s="104">
        <v>45991</v>
      </c>
      <c r="D120" s="100" t="s">
        <v>2659</v>
      </c>
      <c r="E120" s="106" t="s">
        <v>4129</v>
      </c>
      <c r="F120" s="100" t="s">
        <v>2543</v>
      </c>
      <c r="G120" s="100" t="s">
        <v>2566</v>
      </c>
      <c r="H120" s="100" t="s">
        <v>2581</v>
      </c>
      <c r="I120" s="100">
        <v>3</v>
      </c>
      <c r="J120" s="100">
        <v>1</v>
      </c>
      <c r="L120" s="100" t="s">
        <v>2733</v>
      </c>
      <c r="M120" s="100" t="s">
        <v>478</v>
      </c>
      <c r="N120" s="100" t="s">
        <v>2666</v>
      </c>
      <c r="O120" s="100" t="s">
        <v>2596</v>
      </c>
      <c r="P120" s="100">
        <v>50</v>
      </c>
      <c r="Q120" s="100" t="s">
        <v>1150</v>
      </c>
      <c r="R120" s="100" t="str">
        <f>IFERROR(VLOOKUP(Rencontres_N3_PN_Rx[[#This Row],[Code_JA]],tab_JA[#All],3,FALSE)&amp;" "&amp;VLOOKUP(Rencontres_N3_PN_Rx[[#This Row],[Code_JA]],tab_JA[#All],4,FALSE),"")</f>
        <v>GOUTTE Dominique</v>
      </c>
      <c r="S120" s="101">
        <f>IF(Rencontres_N3_PN_Rx[[#This Row],[Code_JA]]&lt;&gt;"",COUNTIF(Rencontres_N3_PN_Rx[Code_JA],Rencontres_N3_PN_Rx[[#This Row],[Code_JA]]),0)</f>
        <v>12</v>
      </c>
      <c r="T120" s="102">
        <v>0</v>
      </c>
      <c r="U120" s="103">
        <v>102</v>
      </c>
      <c r="V120" s="102">
        <f>IF(AND(Rencontres_N3_PN_Rx[[#This Row],[JA à nommer]]="oui",Rencontres_N3_PN_Rx[[#This Row],[Code_JA]]&lt;&gt;""),Rencontres_N3_PN_Rx[[#This Row],[Peages]]+(Rencontres_N3_PN_Rx[[#This Row],[KM_JA]]*0.3)+25,0)</f>
        <v>55.599999999999994</v>
      </c>
      <c r="X120" s="102">
        <f>IF(Rencontres_N3_PN_Rx[[#This Row],[defiscal]]="OUI",Rencontres_N3_PN_Rx[[#This Row],[Peages]]+(Rencontres_N3_PN_Rx[[#This Row],[KM_JA]]*0.3),0)</f>
        <v>0</v>
      </c>
    </row>
    <row r="121" spans="1:24" x14ac:dyDescent="0.25">
      <c r="A121" s="101">
        <v>120</v>
      </c>
      <c r="B121" s="100" t="s">
        <v>2658</v>
      </c>
      <c r="C121" s="104">
        <v>45991</v>
      </c>
      <c r="D121" s="100" t="s">
        <v>2659</v>
      </c>
      <c r="E121" s="106" t="s">
        <v>4128</v>
      </c>
      <c r="F121" s="100" t="s">
        <v>2543</v>
      </c>
      <c r="G121" s="100" t="s">
        <v>2566</v>
      </c>
      <c r="H121" s="100" t="s">
        <v>2631</v>
      </c>
      <c r="I121" s="100">
        <v>1</v>
      </c>
      <c r="J121" s="100">
        <v>1</v>
      </c>
      <c r="L121" s="100" t="s">
        <v>2733</v>
      </c>
      <c r="M121" s="100" t="s">
        <v>478</v>
      </c>
      <c r="N121" s="100" t="s">
        <v>2670</v>
      </c>
      <c r="O121" s="100" t="s">
        <v>2634</v>
      </c>
      <c r="P121" s="100">
        <v>50</v>
      </c>
      <c r="Q121" s="100" t="s">
        <v>1786</v>
      </c>
      <c r="R121" s="100" t="str">
        <f>IFERROR(VLOOKUP(Rencontres_N3_PN_Rx[[#This Row],[Code_JA]],tab_JA[#All],3,FALSE)&amp;" "&amp;VLOOKUP(Rencontres_N3_PN_Rx[[#This Row],[Code_JA]],tab_JA[#All],4,FALSE),"")</f>
        <v>LETENDRE Brigitte</v>
      </c>
      <c r="S121" s="101">
        <f>IF(Rencontres_N3_PN_Rx[[#This Row],[Code_JA]]&lt;&gt;"",COUNTIF(Rencontres_N3_PN_Rx[Code_JA],Rencontres_N3_PN_Rx[[#This Row],[Code_JA]]),0)</f>
        <v>6</v>
      </c>
      <c r="T121" s="102">
        <v>0</v>
      </c>
      <c r="U121" s="103">
        <v>0</v>
      </c>
      <c r="V121" s="102">
        <f>IF(AND(Rencontres_N3_PN_Rx[[#This Row],[JA à nommer]]="oui",Rencontres_N3_PN_Rx[[#This Row],[Code_JA]]&lt;&gt;""),Rencontres_N3_PN_Rx[[#This Row],[Peages]]+(Rencontres_N3_PN_Rx[[#This Row],[KM_JA]]*0.3)+25,0)</f>
        <v>0</v>
      </c>
      <c r="X121" s="102">
        <f>IF(Rencontres_N3_PN_Rx[[#This Row],[defiscal]]="OUI",Rencontres_N3_PN_Rx[[#This Row],[Peages]]+(Rencontres_N3_PN_Rx[[#This Row],[KM_JA]]*0.3),0)</f>
        <v>0</v>
      </c>
    </row>
    <row r="122" spans="1:24" x14ac:dyDescent="0.25">
      <c r="A122" s="101">
        <v>121</v>
      </c>
      <c r="B122" s="100" t="s">
        <v>2541</v>
      </c>
      <c r="C122" s="104">
        <v>46004</v>
      </c>
      <c r="D122" s="100" t="s">
        <v>2542</v>
      </c>
      <c r="E122" s="106" t="s">
        <v>4129</v>
      </c>
      <c r="F122" s="100" t="s">
        <v>2543</v>
      </c>
      <c r="G122" s="100" t="s">
        <v>2554</v>
      </c>
      <c r="H122" s="100" t="s">
        <v>2555</v>
      </c>
      <c r="I122" s="100">
        <v>2</v>
      </c>
      <c r="J122" s="100">
        <v>1</v>
      </c>
      <c r="L122" s="100" t="s">
        <v>2736</v>
      </c>
      <c r="M122" s="100" t="s">
        <v>189</v>
      </c>
      <c r="N122" s="100" t="s">
        <v>2565</v>
      </c>
      <c r="O122" s="100" t="s">
        <v>2564</v>
      </c>
      <c r="P122" s="100">
        <v>50</v>
      </c>
      <c r="Q122" s="100" t="s">
        <v>1366</v>
      </c>
      <c r="R122" s="100" t="str">
        <f>IFERROR(VLOOKUP(Rencontres_N3_PN_Rx[[#This Row],[Code_JA]],tab_JA[#All],3,FALSE)&amp;" "&amp;VLOOKUP(Rencontres_N3_PN_Rx[[#This Row],[Code_JA]],tab_JA[#All],4,FALSE),"")</f>
        <v>JOURDAIN Jean-Francois</v>
      </c>
      <c r="S122" s="101">
        <f>IF(Rencontres_N3_PN_Rx[[#This Row],[Code_JA]]&lt;&gt;"",COUNTIF(Rencontres_N3_PN_Rx[Code_JA],Rencontres_N3_PN_Rx[[#This Row],[Code_JA]]),0)</f>
        <v>6</v>
      </c>
      <c r="T122" s="102">
        <v>0</v>
      </c>
      <c r="U122" s="103">
        <v>46</v>
      </c>
      <c r="V122" s="102">
        <f>IF(AND(Rencontres_N3_PN_Rx[[#This Row],[JA à nommer]]="oui",Rencontres_N3_PN_Rx[[#This Row],[Code_JA]]&lt;&gt;""),Rencontres_N3_PN_Rx[[#This Row],[Peages]]+(Rencontres_N3_PN_Rx[[#This Row],[KM_JA]]*0.3)+25,0)</f>
        <v>38.799999999999997</v>
      </c>
      <c r="X122" s="102">
        <f>IF(Rencontres_N3_PN_Rx[[#This Row],[defiscal]]="OUI",Rencontres_N3_PN_Rx[[#This Row],[Peages]]+(Rencontres_N3_PN_Rx[[#This Row],[KM_JA]]*0.3),0)</f>
        <v>0</v>
      </c>
    </row>
    <row r="123" spans="1:24" x14ac:dyDescent="0.25">
      <c r="A123" s="101">
        <v>122</v>
      </c>
      <c r="B123" s="100" t="s">
        <v>2541</v>
      </c>
      <c r="C123" s="104">
        <v>46004</v>
      </c>
      <c r="D123" s="100" t="s">
        <v>2542</v>
      </c>
      <c r="E123" s="106" t="s">
        <v>4129</v>
      </c>
      <c r="F123" s="100" t="s">
        <v>2543</v>
      </c>
      <c r="G123" s="100" t="s">
        <v>2566</v>
      </c>
      <c r="H123" s="100" t="s">
        <v>2557</v>
      </c>
      <c r="I123" s="100">
        <v>1</v>
      </c>
      <c r="J123" s="100">
        <v>1</v>
      </c>
      <c r="L123" s="100" t="s">
        <v>2736</v>
      </c>
      <c r="M123" s="100" t="s">
        <v>294</v>
      </c>
      <c r="N123" s="100" t="s">
        <v>2573</v>
      </c>
      <c r="O123" s="100" t="s">
        <v>2570</v>
      </c>
      <c r="P123" s="100">
        <v>50</v>
      </c>
      <c r="Q123" s="100" t="s">
        <v>2395</v>
      </c>
      <c r="R123" s="100" t="str">
        <f>IFERROR(VLOOKUP(Rencontres_N3_PN_Rx[[#This Row],[Code_JA]],tab_JA[#All],3,FALSE)&amp;" "&amp;VLOOKUP(Rencontres_N3_PN_Rx[[#This Row],[Code_JA]],tab_JA[#All],4,FALSE),"")</f>
        <v>TRAVES Annie</v>
      </c>
      <c r="S123" s="101">
        <f>IF(Rencontres_N3_PN_Rx[[#This Row],[Code_JA]]&lt;&gt;"",COUNTIF(Rencontres_N3_PN_Rx[Code_JA],Rencontres_N3_PN_Rx[[#This Row],[Code_JA]]),0)</f>
        <v>7</v>
      </c>
      <c r="T123" s="102">
        <v>0</v>
      </c>
      <c r="U123" s="103">
        <v>76</v>
      </c>
      <c r="V123" s="102">
        <f>IF(AND(Rencontres_N3_PN_Rx[[#This Row],[JA à nommer]]="oui",Rencontres_N3_PN_Rx[[#This Row],[Code_JA]]&lt;&gt;""),Rencontres_N3_PN_Rx[[#This Row],[Peages]]+(Rencontres_N3_PN_Rx[[#This Row],[KM_JA]]*0.3)+25,0)</f>
        <v>47.8</v>
      </c>
      <c r="X123" s="102">
        <f>IF(Rencontres_N3_PN_Rx[[#This Row],[defiscal]]="OUI",Rencontres_N3_PN_Rx[[#This Row],[Peages]]+(Rencontres_N3_PN_Rx[[#This Row],[KM_JA]]*0.3),0)</f>
        <v>0</v>
      </c>
    </row>
    <row r="124" spans="1:24" x14ac:dyDescent="0.25">
      <c r="A124" s="101">
        <v>123</v>
      </c>
      <c r="B124" s="100" t="s">
        <v>2541</v>
      </c>
      <c r="C124" s="104">
        <v>46004</v>
      </c>
      <c r="D124" s="100" t="s">
        <v>2542</v>
      </c>
      <c r="E124" s="106" t="s">
        <v>4129</v>
      </c>
      <c r="F124" s="100" t="s">
        <v>2543</v>
      </c>
      <c r="G124" s="100" t="s">
        <v>2566</v>
      </c>
      <c r="H124" s="100" t="s">
        <v>2557</v>
      </c>
      <c r="I124" s="100">
        <v>1</v>
      </c>
      <c r="J124" s="100">
        <v>1</v>
      </c>
      <c r="L124" s="100" t="s">
        <v>2736</v>
      </c>
      <c r="M124" s="100" t="s">
        <v>189</v>
      </c>
      <c r="N124" s="100" t="s">
        <v>2574</v>
      </c>
      <c r="O124" s="100" t="s">
        <v>2572</v>
      </c>
      <c r="P124" s="100">
        <v>50</v>
      </c>
      <c r="Q124" s="100" t="s">
        <v>3296</v>
      </c>
      <c r="R124" s="100" t="str">
        <f>IFERROR(VLOOKUP(Rencontres_N3_PN_Rx[[#This Row],[Code_JA]],tab_JA[#All],3,FALSE)&amp;" "&amp;VLOOKUP(Rencontres_N3_PN_Rx[[#This Row],[Code_JA]],tab_JA[#All],4,FALSE),"")</f>
        <v>JOUIN JEHAN Corentin</v>
      </c>
      <c r="S124" s="101">
        <f>IF(Rencontres_N3_PN_Rx[[#This Row],[Code_JA]]&lt;&gt;"",COUNTIF(Rencontres_N3_PN_Rx[Code_JA],Rencontres_N3_PN_Rx[[#This Row],[Code_JA]]),0)</f>
        <v>9</v>
      </c>
      <c r="T124" s="102">
        <v>0</v>
      </c>
      <c r="U124" s="103">
        <v>50</v>
      </c>
      <c r="V124" s="102">
        <f>IF(AND(Rencontres_N3_PN_Rx[[#This Row],[JA à nommer]]="oui",Rencontres_N3_PN_Rx[[#This Row],[Code_JA]]&lt;&gt;""),Rencontres_N3_PN_Rx[[#This Row],[Peages]]+(Rencontres_N3_PN_Rx[[#This Row],[KM_JA]]*0.3)+25,0)</f>
        <v>40</v>
      </c>
      <c r="X124" s="102">
        <f>IF(Rencontres_N3_PN_Rx[[#This Row],[defiscal]]="OUI",Rencontres_N3_PN_Rx[[#This Row],[Peages]]+(Rencontres_N3_PN_Rx[[#This Row],[KM_JA]]*0.3),0)</f>
        <v>0</v>
      </c>
    </row>
    <row r="125" spans="1:24" x14ac:dyDescent="0.25">
      <c r="A125" s="101">
        <v>124</v>
      </c>
      <c r="B125" s="100" t="s">
        <v>2541</v>
      </c>
      <c r="C125" s="104">
        <v>46004</v>
      </c>
      <c r="D125" s="100" t="s">
        <v>2542</v>
      </c>
      <c r="E125" s="106" t="s">
        <v>4129</v>
      </c>
      <c r="F125" s="100" t="s">
        <v>2543</v>
      </c>
      <c r="G125" s="100" t="s">
        <v>2566</v>
      </c>
      <c r="H125" s="100" t="s">
        <v>2557</v>
      </c>
      <c r="I125" s="100">
        <v>2</v>
      </c>
      <c r="J125" s="100">
        <v>1</v>
      </c>
      <c r="L125" s="100" t="s">
        <v>2736</v>
      </c>
      <c r="M125" s="100" t="s">
        <v>478</v>
      </c>
      <c r="N125" s="100" t="s">
        <v>2577</v>
      </c>
      <c r="O125" s="100" t="s">
        <v>2576</v>
      </c>
      <c r="P125" s="100">
        <v>50</v>
      </c>
      <c r="Q125" s="100" t="s">
        <v>1150</v>
      </c>
      <c r="R125" s="100" t="str">
        <f>IFERROR(VLOOKUP(Rencontres_N3_PN_Rx[[#This Row],[Code_JA]],tab_JA[#All],3,FALSE)&amp;" "&amp;VLOOKUP(Rencontres_N3_PN_Rx[[#This Row],[Code_JA]],tab_JA[#All],4,FALSE),"")</f>
        <v>GOUTTE Dominique</v>
      </c>
      <c r="S125" s="101">
        <f>IF(Rencontres_N3_PN_Rx[[#This Row],[Code_JA]]&lt;&gt;"",COUNTIF(Rencontres_N3_PN_Rx[Code_JA],Rencontres_N3_PN_Rx[[#This Row],[Code_JA]]),0)</f>
        <v>12</v>
      </c>
      <c r="T125" s="102">
        <v>0</v>
      </c>
      <c r="U125" s="103">
        <v>51</v>
      </c>
      <c r="V125" s="102">
        <f>IF(AND(Rencontres_N3_PN_Rx[[#This Row],[JA à nommer]]="oui",Rencontres_N3_PN_Rx[[#This Row],[Code_JA]]&lt;&gt;""),Rencontres_N3_PN_Rx[[#This Row],[Peages]]+(Rencontres_N3_PN_Rx[[#This Row],[KM_JA]]*0.3)+25,0)</f>
        <v>40.299999999999997</v>
      </c>
      <c r="X125" s="102">
        <f>IF(Rencontres_N3_PN_Rx[[#This Row],[defiscal]]="OUI",Rencontres_N3_PN_Rx[[#This Row],[Peages]]+(Rencontres_N3_PN_Rx[[#This Row],[KM_JA]]*0.3),0)</f>
        <v>0</v>
      </c>
    </row>
    <row r="126" spans="1:24" x14ac:dyDescent="0.25">
      <c r="A126" s="101">
        <v>125</v>
      </c>
      <c r="B126" s="100" t="s">
        <v>2541</v>
      </c>
      <c r="C126" s="104">
        <v>46004</v>
      </c>
      <c r="D126" s="100" t="s">
        <v>2542</v>
      </c>
      <c r="E126" s="106" t="s">
        <v>4129</v>
      </c>
      <c r="F126" s="100" t="s">
        <v>2543</v>
      </c>
      <c r="G126" s="100" t="s">
        <v>2566</v>
      </c>
      <c r="H126" s="100" t="s">
        <v>2557</v>
      </c>
      <c r="I126" s="100">
        <v>2</v>
      </c>
      <c r="J126" s="100">
        <v>1</v>
      </c>
      <c r="L126" s="100" t="s">
        <v>2736</v>
      </c>
      <c r="M126" s="100" t="s">
        <v>1364</v>
      </c>
      <c r="N126" s="100" t="s">
        <v>2579</v>
      </c>
      <c r="O126" s="100" t="s">
        <v>2578</v>
      </c>
      <c r="P126" s="100">
        <v>50</v>
      </c>
      <c r="Q126" s="100" t="s">
        <v>1786</v>
      </c>
      <c r="R126" s="100" t="str">
        <f>IFERROR(VLOOKUP(Rencontres_N3_PN_Rx[[#This Row],[Code_JA]],tab_JA[#All],3,FALSE)&amp;" "&amp;VLOOKUP(Rencontres_N3_PN_Rx[[#This Row],[Code_JA]],tab_JA[#All],4,FALSE),"")</f>
        <v>LETENDRE Brigitte</v>
      </c>
      <c r="S126" s="101">
        <f>IF(Rencontres_N3_PN_Rx[[#This Row],[Code_JA]]&lt;&gt;"",COUNTIF(Rencontres_N3_PN_Rx[Code_JA],Rencontres_N3_PN_Rx[[#This Row],[Code_JA]]),0)</f>
        <v>6</v>
      </c>
      <c r="T126" s="102">
        <v>0</v>
      </c>
      <c r="U126" s="103">
        <v>21.5</v>
      </c>
      <c r="V126" s="102">
        <f>IF(AND(Rencontres_N3_PN_Rx[[#This Row],[JA à nommer]]="oui",Rencontres_N3_PN_Rx[[#This Row],[Code_JA]]&lt;&gt;""),Rencontres_N3_PN_Rx[[#This Row],[Peages]]+(Rencontres_N3_PN_Rx[[#This Row],[KM_JA]]*0.3)+25,0)</f>
        <v>31.45</v>
      </c>
      <c r="X126" s="102">
        <f>IF(Rencontres_N3_PN_Rx[[#This Row],[defiscal]]="OUI",Rencontres_N3_PN_Rx[[#This Row],[Peages]]+(Rencontres_N3_PN_Rx[[#This Row],[KM_JA]]*0.3),0)</f>
        <v>0</v>
      </c>
    </row>
    <row r="127" spans="1:24" x14ac:dyDescent="0.25">
      <c r="A127" s="101">
        <v>126</v>
      </c>
      <c r="B127" s="100" t="s">
        <v>2541</v>
      </c>
      <c r="C127" s="104">
        <v>46004</v>
      </c>
      <c r="D127" s="100" t="s">
        <v>2542</v>
      </c>
      <c r="E127" s="106" t="s">
        <v>4129</v>
      </c>
      <c r="F127" s="100" t="s">
        <v>2543</v>
      </c>
      <c r="G127" s="100" t="s">
        <v>2566</v>
      </c>
      <c r="H127" s="100" t="s">
        <v>2557</v>
      </c>
      <c r="I127" s="100">
        <v>2</v>
      </c>
      <c r="J127" s="100">
        <v>1</v>
      </c>
      <c r="L127" s="100" t="s">
        <v>2736</v>
      </c>
      <c r="M127" s="100" t="s">
        <v>1468</v>
      </c>
      <c r="N127" s="100" t="s">
        <v>2580</v>
      </c>
      <c r="O127" s="100" t="s">
        <v>2661</v>
      </c>
      <c r="P127" s="100">
        <v>50</v>
      </c>
      <c r="Q127" s="100" t="s">
        <v>128</v>
      </c>
      <c r="R127" s="100" t="str">
        <f>IFERROR(VLOOKUP(Rencontres_N3_PN_Rx[[#This Row],[Code_JA]],tab_JA[#All],3,FALSE)&amp;" "&amp;VLOOKUP(Rencontres_N3_PN_Rx[[#This Row],[Code_JA]],tab_JA[#All],4,FALSE),"")</f>
        <v>BASTIEN Natacha</v>
      </c>
      <c r="S127" s="101">
        <f>IF(Rencontres_N3_PN_Rx[[#This Row],[Code_JA]]&lt;&gt;"",COUNTIF(Rencontres_N3_PN_Rx[Code_JA],Rencontres_N3_PN_Rx[[#This Row],[Code_JA]]),0)</f>
        <v>2</v>
      </c>
      <c r="T127" s="102">
        <v>0</v>
      </c>
      <c r="U127" s="103">
        <v>30</v>
      </c>
      <c r="V127" s="102">
        <f>IF(AND(Rencontres_N3_PN_Rx[[#This Row],[JA à nommer]]="oui",Rencontres_N3_PN_Rx[[#This Row],[Code_JA]]&lt;&gt;""),Rencontres_N3_PN_Rx[[#This Row],[Peages]]+(Rencontres_N3_PN_Rx[[#This Row],[KM_JA]]*0.3)+25,0)</f>
        <v>34</v>
      </c>
      <c r="X127" s="102">
        <f>IF(Rencontres_N3_PN_Rx[[#This Row],[defiscal]]="OUI",Rencontres_N3_PN_Rx[[#This Row],[Peages]]+(Rencontres_N3_PN_Rx[[#This Row],[KM_JA]]*0.3),0)</f>
        <v>0</v>
      </c>
    </row>
    <row r="128" spans="1:24" x14ac:dyDescent="0.25">
      <c r="A128" s="101">
        <v>127</v>
      </c>
      <c r="B128" s="100" t="s">
        <v>2541</v>
      </c>
      <c r="C128" s="104">
        <v>46004</v>
      </c>
      <c r="D128" s="100" t="s">
        <v>2542</v>
      </c>
      <c r="E128" s="106" t="s">
        <v>4129</v>
      </c>
      <c r="F128" s="100" t="s">
        <v>2543</v>
      </c>
      <c r="G128" s="100" t="s">
        <v>2566</v>
      </c>
      <c r="H128" s="100" t="s">
        <v>2581</v>
      </c>
      <c r="I128" s="100">
        <v>1</v>
      </c>
      <c r="J128" s="100">
        <v>1</v>
      </c>
      <c r="L128" s="100" t="s">
        <v>2736</v>
      </c>
      <c r="M128" s="100" t="s">
        <v>98</v>
      </c>
      <c r="N128" s="100" t="s">
        <v>2586</v>
      </c>
      <c r="O128" s="100" t="s">
        <v>2582</v>
      </c>
      <c r="P128" s="100">
        <v>50</v>
      </c>
      <c r="Q128" s="100" t="s">
        <v>3308</v>
      </c>
      <c r="R128" s="100" t="str">
        <f>IFERROR(VLOOKUP(Rencontres_N3_PN_Rx[[#This Row],[Code_JA]],tab_JA[#All],3,FALSE)&amp;" "&amp;VLOOKUP(Rencontres_N3_PN_Rx[[#This Row],[Code_JA]],tab_JA[#All],4,FALSE),"")</f>
        <v>LEGOUBEY Jean Pierre</v>
      </c>
      <c r="S128" s="101">
        <f>IF(Rencontres_N3_PN_Rx[[#This Row],[Code_JA]]&lt;&gt;"",COUNTIF(Rencontres_N3_PN_Rx[Code_JA],Rencontres_N3_PN_Rx[[#This Row],[Code_JA]]),0)</f>
        <v>1</v>
      </c>
      <c r="T128" s="102">
        <v>0</v>
      </c>
      <c r="U128" s="103">
        <v>30</v>
      </c>
      <c r="V128" s="102">
        <f>IF(AND(Rencontres_N3_PN_Rx[[#This Row],[JA à nommer]]="oui",Rencontres_N3_PN_Rx[[#This Row],[Code_JA]]&lt;&gt;""),Rencontres_N3_PN_Rx[[#This Row],[Peages]]+(Rencontres_N3_PN_Rx[[#This Row],[KM_JA]]*0.3)+25,0)</f>
        <v>34</v>
      </c>
      <c r="X128" s="102">
        <f>IF(Rencontres_N3_PN_Rx[[#This Row],[defiscal]]="OUI",Rencontres_N3_PN_Rx[[#This Row],[Peages]]+(Rencontres_N3_PN_Rx[[#This Row],[KM_JA]]*0.3),0)</f>
        <v>0</v>
      </c>
    </row>
    <row r="129" spans="1:24" x14ac:dyDescent="0.25">
      <c r="A129" s="101">
        <v>128</v>
      </c>
      <c r="B129" s="100" t="s">
        <v>2541</v>
      </c>
      <c r="C129" s="104">
        <v>46004</v>
      </c>
      <c r="D129" s="100" t="s">
        <v>2542</v>
      </c>
      <c r="E129" s="106" t="s">
        <v>4129</v>
      </c>
      <c r="F129" s="100" t="s">
        <v>2543</v>
      </c>
      <c r="G129" s="100" t="s">
        <v>2566</v>
      </c>
      <c r="H129" s="100" t="s">
        <v>2581</v>
      </c>
      <c r="I129" s="100">
        <v>2</v>
      </c>
      <c r="J129" s="100">
        <v>1</v>
      </c>
      <c r="L129" s="100" t="s">
        <v>2736</v>
      </c>
      <c r="M129" s="100" t="s">
        <v>1364</v>
      </c>
      <c r="N129" s="100" t="s">
        <v>2592</v>
      </c>
      <c r="O129" s="100" t="s">
        <v>2591</v>
      </c>
      <c r="P129" s="100">
        <v>50</v>
      </c>
      <c r="Q129" s="100" t="s">
        <v>1786</v>
      </c>
      <c r="R129" s="100" t="str">
        <f>IFERROR(VLOOKUP(Rencontres_N3_PN_Rx[[#This Row],[Code_JA]],tab_JA[#All],3,FALSE)&amp;" "&amp;VLOOKUP(Rencontres_N3_PN_Rx[[#This Row],[Code_JA]],tab_JA[#All],4,FALSE),"")</f>
        <v>LETENDRE Brigitte</v>
      </c>
      <c r="S129" s="101">
        <f>IF(Rencontres_N3_PN_Rx[[#This Row],[Code_JA]]&lt;&gt;"",COUNTIF(Rencontres_N3_PN_Rx[Code_JA],Rencontres_N3_PN_Rx[[#This Row],[Code_JA]]),0)</f>
        <v>6</v>
      </c>
      <c r="T129" s="102">
        <v>0</v>
      </c>
      <c r="U129" s="103">
        <v>21.5</v>
      </c>
      <c r="V129" s="102">
        <f>IF(AND(Rencontres_N3_PN_Rx[[#This Row],[JA à nommer]]="oui",Rencontres_N3_PN_Rx[[#This Row],[Code_JA]]&lt;&gt;""),Rencontres_N3_PN_Rx[[#This Row],[Peages]]+(Rencontres_N3_PN_Rx[[#This Row],[KM_JA]]*0.3)+25,0)</f>
        <v>31.45</v>
      </c>
      <c r="X129" s="102">
        <f>IF(Rencontres_N3_PN_Rx[[#This Row],[defiscal]]="OUI",Rencontres_N3_PN_Rx[[#This Row],[Peages]]+(Rencontres_N3_PN_Rx[[#This Row],[KM_JA]]*0.3),0)</f>
        <v>0</v>
      </c>
    </row>
    <row r="130" spans="1:24" x14ac:dyDescent="0.25">
      <c r="A130" s="101">
        <v>129</v>
      </c>
      <c r="B130" s="100" t="s">
        <v>2541</v>
      </c>
      <c r="C130" s="104">
        <v>46004</v>
      </c>
      <c r="D130" s="100" t="s">
        <v>2542</v>
      </c>
      <c r="E130" s="106" t="s">
        <v>4129</v>
      </c>
      <c r="F130" s="100" t="s">
        <v>2543</v>
      </c>
      <c r="G130" s="100" t="s">
        <v>2566</v>
      </c>
      <c r="H130" s="100" t="s">
        <v>2581</v>
      </c>
      <c r="I130" s="100">
        <v>3</v>
      </c>
      <c r="J130" s="100">
        <v>1</v>
      </c>
      <c r="L130" s="100" t="s">
        <v>2736</v>
      </c>
      <c r="M130" s="100" t="s">
        <v>2063</v>
      </c>
      <c r="N130" s="100" t="s">
        <v>2598</v>
      </c>
      <c r="O130" s="100" t="s">
        <v>2667</v>
      </c>
      <c r="P130" s="100">
        <v>50</v>
      </c>
      <c r="Q130" s="100" t="s">
        <v>1674</v>
      </c>
      <c r="R130" s="100" t="str">
        <f>IFERROR(VLOOKUP(Rencontres_N3_PN_Rx[[#This Row],[Code_JA]],tab_JA[#All],3,FALSE)&amp;" "&amp;VLOOKUP(Rencontres_N3_PN_Rx[[#This Row],[Code_JA]],tab_JA[#All],4,FALSE),"")</f>
        <v>LEMETAIS Yannick</v>
      </c>
      <c r="S130" s="101">
        <f>IF(Rencontres_N3_PN_Rx[[#This Row],[Code_JA]]&lt;&gt;"",COUNTIF(Rencontres_N3_PN_Rx[Code_JA],Rencontres_N3_PN_Rx[[#This Row],[Code_JA]]),0)</f>
        <v>2</v>
      </c>
      <c r="T130" s="102">
        <v>0</v>
      </c>
      <c r="U130" s="103">
        <v>25</v>
      </c>
      <c r="V130" s="102">
        <f>IF(AND(Rencontres_N3_PN_Rx[[#This Row],[JA à nommer]]="oui",Rencontres_N3_PN_Rx[[#This Row],[Code_JA]]&lt;&gt;""),Rencontres_N3_PN_Rx[[#This Row],[Peages]]+(Rencontres_N3_PN_Rx[[#This Row],[KM_JA]]*0.3)+25,0)</f>
        <v>32.5</v>
      </c>
      <c r="X130" s="102">
        <f>IF(Rencontres_N3_PN_Rx[[#This Row],[defiscal]]="OUI",Rencontres_N3_PN_Rx[[#This Row],[Peages]]+(Rencontres_N3_PN_Rx[[#This Row],[KM_JA]]*0.3),0)</f>
        <v>0</v>
      </c>
    </row>
    <row r="131" spans="1:24" x14ac:dyDescent="0.25">
      <c r="A131" s="101">
        <v>130</v>
      </c>
      <c r="B131" s="100" t="s">
        <v>2541</v>
      </c>
      <c r="C131" s="104">
        <v>46004</v>
      </c>
      <c r="D131" s="100" t="s">
        <v>2542</v>
      </c>
      <c r="E131" s="106" t="s">
        <v>4129</v>
      </c>
      <c r="F131" s="100" t="s">
        <v>2543</v>
      </c>
      <c r="G131" s="100" t="s">
        <v>2566</v>
      </c>
      <c r="H131" s="100" t="s">
        <v>2581</v>
      </c>
      <c r="I131" s="100">
        <v>3</v>
      </c>
      <c r="J131" s="100">
        <v>1</v>
      </c>
      <c r="L131" s="100" t="s">
        <v>2736</v>
      </c>
      <c r="M131" s="100" t="s">
        <v>189</v>
      </c>
      <c r="N131" s="100" t="s">
        <v>2599</v>
      </c>
      <c r="O131" s="100" t="s">
        <v>2597</v>
      </c>
      <c r="P131" s="100">
        <v>50</v>
      </c>
      <c r="Q131" s="100" t="s">
        <v>3296</v>
      </c>
      <c r="R131" s="100" t="str">
        <f>IFERROR(VLOOKUP(Rencontres_N3_PN_Rx[[#This Row],[Code_JA]],tab_JA[#All],3,FALSE)&amp;" "&amp;VLOOKUP(Rencontres_N3_PN_Rx[[#This Row],[Code_JA]],tab_JA[#All],4,FALSE),"")</f>
        <v>JOUIN JEHAN Corentin</v>
      </c>
      <c r="S131" s="101">
        <f>IF(Rencontres_N3_PN_Rx[[#This Row],[Code_JA]]&lt;&gt;"",COUNTIF(Rencontres_N3_PN_Rx[Code_JA],Rencontres_N3_PN_Rx[[#This Row],[Code_JA]]),0)</f>
        <v>9</v>
      </c>
      <c r="T131" s="102">
        <v>0</v>
      </c>
      <c r="U131" s="103">
        <v>50</v>
      </c>
      <c r="V131" s="102">
        <f>IF(AND(Rencontres_N3_PN_Rx[[#This Row],[JA à nommer]]="oui",Rencontres_N3_PN_Rx[[#This Row],[Code_JA]]&lt;&gt;""),Rencontres_N3_PN_Rx[[#This Row],[Peages]]+(Rencontres_N3_PN_Rx[[#This Row],[KM_JA]]*0.3)+25,0)</f>
        <v>40</v>
      </c>
      <c r="X131" s="102">
        <f>IF(Rencontres_N3_PN_Rx[[#This Row],[defiscal]]="OUI",Rencontres_N3_PN_Rx[[#This Row],[Peages]]+(Rencontres_N3_PN_Rx[[#This Row],[KM_JA]]*0.3),0)</f>
        <v>0</v>
      </c>
    </row>
    <row r="132" spans="1:24" x14ac:dyDescent="0.25">
      <c r="A132" s="101">
        <v>131</v>
      </c>
      <c r="B132" s="100" t="s">
        <v>2541</v>
      </c>
      <c r="C132" s="104">
        <v>46004</v>
      </c>
      <c r="D132" s="100" t="s">
        <v>2542</v>
      </c>
      <c r="E132" s="106" t="s">
        <v>4128</v>
      </c>
      <c r="F132" s="100" t="s">
        <v>2543</v>
      </c>
      <c r="G132" s="100" t="s">
        <v>2566</v>
      </c>
      <c r="H132" s="100" t="s">
        <v>2600</v>
      </c>
      <c r="I132" s="100">
        <v>1</v>
      </c>
      <c r="J132" s="100">
        <v>1</v>
      </c>
      <c r="L132" s="100" t="s">
        <v>2736</v>
      </c>
      <c r="M132" s="100" t="s">
        <v>1468</v>
      </c>
      <c r="N132" s="100" t="s">
        <v>2606</v>
      </c>
      <c r="O132" s="100" t="s">
        <v>2669</v>
      </c>
      <c r="P132" s="100">
        <v>50</v>
      </c>
      <c r="Q132" s="100" t="s">
        <v>2434</v>
      </c>
      <c r="R132" s="100" t="str">
        <f>IFERROR(VLOOKUP(Rencontres_N3_PN_Rx[[#This Row],[Code_JA]],tab_JA[#All],3,FALSE)&amp;" "&amp;VLOOKUP(Rencontres_N3_PN_Rx[[#This Row],[Code_JA]],tab_JA[#All],4,FALSE),"")</f>
        <v>VASSE Agnes</v>
      </c>
      <c r="S132" s="101">
        <f>IF(Rencontres_N3_PN_Rx[[#This Row],[Code_JA]]&lt;&gt;"",COUNTIF(Rencontres_N3_PN_Rx[Code_JA],Rencontres_N3_PN_Rx[[#This Row],[Code_JA]]),0)</f>
        <v>6</v>
      </c>
      <c r="T132" s="102">
        <v>0</v>
      </c>
      <c r="U132" s="103">
        <v>0</v>
      </c>
      <c r="V132" s="102">
        <f>IF(AND(Rencontres_N3_PN_Rx[[#This Row],[JA à nommer]]="oui",Rencontres_N3_PN_Rx[[#This Row],[Code_JA]]&lt;&gt;""),Rencontres_N3_PN_Rx[[#This Row],[Peages]]+(Rencontres_N3_PN_Rx[[#This Row],[KM_JA]]*0.3)+25,0)</f>
        <v>0</v>
      </c>
      <c r="X132" s="102">
        <f>IF(Rencontres_N3_PN_Rx[[#This Row],[defiscal]]="OUI",Rencontres_N3_PN_Rx[[#This Row],[Peages]]+(Rencontres_N3_PN_Rx[[#This Row],[KM_JA]]*0.3),0)</f>
        <v>0</v>
      </c>
    </row>
    <row r="133" spans="1:24" x14ac:dyDescent="0.25">
      <c r="A133" s="101">
        <v>132</v>
      </c>
      <c r="B133" s="100" t="s">
        <v>2541</v>
      </c>
      <c r="C133" s="104">
        <v>46004</v>
      </c>
      <c r="D133" s="100" t="s">
        <v>2542</v>
      </c>
      <c r="E133" s="106" t="s">
        <v>4128</v>
      </c>
      <c r="F133" s="100" t="s">
        <v>2543</v>
      </c>
      <c r="G133" s="100" t="s">
        <v>2566</v>
      </c>
      <c r="H133" s="100" t="s">
        <v>2600</v>
      </c>
      <c r="I133" s="100">
        <v>2</v>
      </c>
      <c r="J133" s="100">
        <v>1</v>
      </c>
      <c r="L133" s="100" t="s">
        <v>2736</v>
      </c>
      <c r="M133" s="100" t="s">
        <v>1213</v>
      </c>
      <c r="N133" s="100" t="s">
        <v>2614</v>
      </c>
      <c r="O133" s="100" t="s">
        <v>2612</v>
      </c>
      <c r="P133" s="100">
        <v>50</v>
      </c>
      <c r="Q133" s="100" t="s">
        <v>3317</v>
      </c>
      <c r="R133" s="100" t="str">
        <f>IFERROR(VLOOKUP(Rencontres_N3_PN_Rx[[#This Row],[Code_JA]],tab_JA[#All],3,FALSE)&amp;" "&amp;VLOOKUP(Rencontres_N3_PN_Rx[[#This Row],[Code_JA]],tab_JA[#All],4,FALSE),"")</f>
        <v>LEPROVOST Patrick</v>
      </c>
      <c r="S133" s="101">
        <f>IF(Rencontres_N3_PN_Rx[[#This Row],[Code_JA]]&lt;&gt;"",COUNTIF(Rencontres_N3_PN_Rx[Code_JA],Rencontres_N3_PN_Rx[[#This Row],[Code_JA]]),0)</f>
        <v>2</v>
      </c>
      <c r="T133" s="102">
        <v>0</v>
      </c>
      <c r="U133" s="103">
        <v>0</v>
      </c>
      <c r="V133" s="102">
        <f>IF(AND(Rencontres_N3_PN_Rx[[#This Row],[JA à nommer]]="oui",Rencontres_N3_PN_Rx[[#This Row],[Code_JA]]&lt;&gt;""),Rencontres_N3_PN_Rx[[#This Row],[Peages]]+(Rencontres_N3_PN_Rx[[#This Row],[KM_JA]]*0.3)+25,0)</f>
        <v>0</v>
      </c>
      <c r="X133" s="102">
        <f>IF(Rencontres_N3_PN_Rx[[#This Row],[defiscal]]="OUI",Rencontres_N3_PN_Rx[[#This Row],[Peages]]+(Rencontres_N3_PN_Rx[[#This Row],[KM_JA]]*0.3),0)</f>
        <v>0</v>
      </c>
    </row>
    <row r="134" spans="1:24" x14ac:dyDescent="0.25">
      <c r="A134" s="101">
        <v>133</v>
      </c>
      <c r="B134" s="100" t="s">
        <v>2541</v>
      </c>
      <c r="C134" s="104">
        <v>46004</v>
      </c>
      <c r="D134" s="100" t="s">
        <v>2542</v>
      </c>
      <c r="E134" s="106" t="s">
        <v>4128</v>
      </c>
      <c r="F134" s="100" t="s">
        <v>2543</v>
      </c>
      <c r="G134" s="100" t="s">
        <v>2566</v>
      </c>
      <c r="H134" s="100" t="s">
        <v>2600</v>
      </c>
      <c r="I134" s="100">
        <v>4</v>
      </c>
      <c r="J134" s="100">
        <v>1</v>
      </c>
      <c r="L134" s="100" t="s">
        <v>2736</v>
      </c>
      <c r="M134" s="100" t="s">
        <v>98</v>
      </c>
      <c r="N134" s="100" t="s">
        <v>2627</v>
      </c>
      <c r="O134" s="100" t="s">
        <v>2623</v>
      </c>
      <c r="P134" s="100">
        <v>50</v>
      </c>
      <c r="Q134" s="100" t="s">
        <v>1181</v>
      </c>
      <c r="R134" s="100" t="str">
        <f>IFERROR(VLOOKUP(Rencontres_N3_PN_Rx[[#This Row],[Code_JA]],tab_JA[#All],3,FALSE)&amp;" "&amp;VLOOKUP(Rencontres_N3_PN_Rx[[#This Row],[Code_JA]],tab_JA[#All],4,FALSE),"")</f>
        <v>GUILLARD Yannick</v>
      </c>
      <c r="S134" s="101">
        <f>IF(Rencontres_N3_PN_Rx[[#This Row],[Code_JA]]&lt;&gt;"",COUNTIF(Rencontres_N3_PN_Rx[Code_JA],Rencontres_N3_PN_Rx[[#This Row],[Code_JA]]),0)</f>
        <v>3</v>
      </c>
      <c r="T134" s="102">
        <v>0</v>
      </c>
      <c r="U134" s="103">
        <v>0</v>
      </c>
      <c r="V134" s="102">
        <f>IF(AND(Rencontres_N3_PN_Rx[[#This Row],[JA à nommer]]="oui",Rencontres_N3_PN_Rx[[#This Row],[Code_JA]]&lt;&gt;""),Rencontres_N3_PN_Rx[[#This Row],[Peages]]+(Rencontres_N3_PN_Rx[[#This Row],[KM_JA]]*0.3)+25,0)</f>
        <v>0</v>
      </c>
      <c r="X134" s="102">
        <f>IF(Rencontres_N3_PN_Rx[[#This Row],[defiscal]]="OUI",Rencontres_N3_PN_Rx[[#This Row],[Peages]]+(Rencontres_N3_PN_Rx[[#This Row],[KM_JA]]*0.3),0)</f>
        <v>0</v>
      </c>
    </row>
    <row r="135" spans="1:24" x14ac:dyDescent="0.25">
      <c r="A135" s="101">
        <v>134</v>
      </c>
      <c r="B135" s="100" t="s">
        <v>2541</v>
      </c>
      <c r="C135" s="104">
        <v>46004</v>
      </c>
      <c r="D135" s="100" t="s">
        <v>2542</v>
      </c>
      <c r="E135" s="106" t="s">
        <v>4128</v>
      </c>
      <c r="F135" s="100" t="s">
        <v>2543</v>
      </c>
      <c r="G135" s="100" t="s">
        <v>2566</v>
      </c>
      <c r="H135" s="100" t="s">
        <v>2600</v>
      </c>
      <c r="I135" s="100">
        <v>4</v>
      </c>
      <c r="J135" s="100">
        <v>1</v>
      </c>
      <c r="L135" s="100" t="s">
        <v>2736</v>
      </c>
      <c r="M135" s="100" t="s">
        <v>2063</v>
      </c>
      <c r="N135" s="100" t="s">
        <v>2629</v>
      </c>
      <c r="O135" s="100" t="s">
        <v>2626</v>
      </c>
      <c r="P135" s="100">
        <v>50</v>
      </c>
      <c r="Q135" s="100" t="s">
        <v>2552</v>
      </c>
      <c r="R135" s="100" t="str">
        <f>IFERROR(VLOOKUP(Rencontres_N3_PN_Rx[[#This Row],[Code_JA]],tab_JA[#All],3,FALSE)&amp;" "&amp;VLOOKUP(Rencontres_N3_PN_Rx[[#This Row],[Code_JA]],tab_JA[#All],4,FALSE),"")</f>
        <v/>
      </c>
      <c r="S135" s="101">
        <f>IF(Rencontres_N3_PN_Rx[[#This Row],[Code_JA]]&lt;&gt;"",COUNTIF(Rencontres_N3_PN_Rx[Code_JA],Rencontres_N3_PN_Rx[[#This Row],[Code_JA]]),0)</f>
        <v>0</v>
      </c>
      <c r="T135" s="102">
        <v>0</v>
      </c>
      <c r="U135" s="103">
        <v>0</v>
      </c>
      <c r="V135" s="102">
        <f>IF(AND(Rencontres_N3_PN_Rx[[#This Row],[JA à nommer]]="oui",Rencontres_N3_PN_Rx[[#This Row],[Code_JA]]&lt;&gt;""),Rencontres_N3_PN_Rx[[#This Row],[Peages]]+(Rencontres_N3_PN_Rx[[#This Row],[KM_JA]]*0.3)+25,0)</f>
        <v>0</v>
      </c>
      <c r="X135" s="102">
        <f>IF(Rencontres_N3_PN_Rx[[#This Row],[defiscal]]="OUI",Rencontres_N3_PN_Rx[[#This Row],[Peages]]+(Rencontres_N3_PN_Rx[[#This Row],[KM_JA]]*0.3),0)</f>
        <v>0</v>
      </c>
    </row>
    <row r="136" spans="1:24" x14ac:dyDescent="0.25">
      <c r="A136" s="101">
        <v>135</v>
      </c>
      <c r="B136" s="100" t="s">
        <v>2541</v>
      </c>
      <c r="C136" s="104">
        <v>46004</v>
      </c>
      <c r="D136" s="100" t="s">
        <v>2542</v>
      </c>
      <c r="E136" s="106" t="s">
        <v>4129</v>
      </c>
      <c r="F136" s="100" t="s">
        <v>2543</v>
      </c>
      <c r="G136" s="100" t="s">
        <v>2566</v>
      </c>
      <c r="H136" s="100" t="s">
        <v>2600</v>
      </c>
      <c r="I136" s="100">
        <v>4</v>
      </c>
      <c r="J136" s="100">
        <v>1</v>
      </c>
      <c r="L136" s="100" t="s">
        <v>2736</v>
      </c>
      <c r="M136" s="100" t="s">
        <v>691</v>
      </c>
      <c r="N136" s="100" t="s">
        <v>2630</v>
      </c>
      <c r="O136" s="100" t="s">
        <v>2628</v>
      </c>
      <c r="P136" s="100">
        <v>50</v>
      </c>
      <c r="Q136" s="100" t="s">
        <v>2197</v>
      </c>
      <c r="R136" s="100" t="str">
        <f>IFERROR(VLOOKUP(Rencontres_N3_PN_Rx[[#This Row],[Code_JA]],tab_JA[#All],3,FALSE)&amp;" "&amp;VLOOKUP(Rencontres_N3_PN_Rx[[#This Row],[Code_JA]],tab_JA[#All],4,FALSE),"")</f>
        <v>RELET Pascal</v>
      </c>
      <c r="S136" s="101">
        <f>IF(Rencontres_N3_PN_Rx[[#This Row],[Code_JA]]&lt;&gt;"",COUNTIF(Rencontres_N3_PN_Rx[Code_JA],Rencontres_N3_PN_Rx[[#This Row],[Code_JA]]),0)</f>
        <v>9</v>
      </c>
      <c r="T136" s="102">
        <v>0</v>
      </c>
      <c r="U136" s="103">
        <v>10</v>
      </c>
      <c r="V136" s="102">
        <f>IF(AND(Rencontres_N3_PN_Rx[[#This Row],[JA à nommer]]="oui",Rencontres_N3_PN_Rx[[#This Row],[Code_JA]]&lt;&gt;""),Rencontres_N3_PN_Rx[[#This Row],[Peages]]+(Rencontres_N3_PN_Rx[[#This Row],[KM_JA]]*0.3)+25,0)</f>
        <v>28</v>
      </c>
      <c r="X136" s="102">
        <f>IF(Rencontres_N3_PN_Rx[[#This Row],[defiscal]]="OUI",Rencontres_N3_PN_Rx[[#This Row],[Peages]]+(Rencontres_N3_PN_Rx[[#This Row],[KM_JA]]*0.3),0)</f>
        <v>0</v>
      </c>
    </row>
    <row r="137" spans="1:24" x14ac:dyDescent="0.25">
      <c r="A137" s="101">
        <v>136</v>
      </c>
      <c r="B137" s="100" t="s">
        <v>2541</v>
      </c>
      <c r="C137" s="104">
        <v>46004</v>
      </c>
      <c r="D137" s="100" t="s">
        <v>2542</v>
      </c>
      <c r="E137" s="106" t="s">
        <v>4128</v>
      </c>
      <c r="F137" s="100" t="s">
        <v>2543</v>
      </c>
      <c r="G137" s="100" t="s">
        <v>2566</v>
      </c>
      <c r="H137" s="100" t="s">
        <v>2631</v>
      </c>
      <c r="I137" s="100">
        <v>1</v>
      </c>
      <c r="J137" s="100">
        <v>1</v>
      </c>
      <c r="L137" s="100" t="s">
        <v>2736</v>
      </c>
      <c r="M137" s="100" t="s">
        <v>189</v>
      </c>
      <c r="N137" s="100" t="s">
        <v>2637</v>
      </c>
      <c r="O137" s="100" t="s">
        <v>2635</v>
      </c>
      <c r="P137" s="100">
        <v>50</v>
      </c>
      <c r="Q137" s="100" t="s">
        <v>2552</v>
      </c>
      <c r="R137" s="100" t="str">
        <f>IFERROR(VLOOKUP(Rencontres_N3_PN_Rx[[#This Row],[Code_JA]],tab_JA[#All],3,FALSE)&amp;" "&amp;VLOOKUP(Rencontres_N3_PN_Rx[[#This Row],[Code_JA]],tab_JA[#All],4,FALSE),"")</f>
        <v/>
      </c>
      <c r="S137" s="101">
        <f>IF(Rencontres_N3_PN_Rx[[#This Row],[Code_JA]]&lt;&gt;"",COUNTIF(Rencontres_N3_PN_Rx[Code_JA],Rencontres_N3_PN_Rx[[#This Row],[Code_JA]]),0)</f>
        <v>0</v>
      </c>
      <c r="T137" s="102">
        <v>0</v>
      </c>
      <c r="U137" s="103">
        <v>0</v>
      </c>
      <c r="V137" s="102">
        <f>IF(AND(Rencontres_N3_PN_Rx[[#This Row],[JA à nommer]]="oui",Rencontres_N3_PN_Rx[[#This Row],[Code_JA]]&lt;&gt;""),Rencontres_N3_PN_Rx[[#This Row],[Peages]]+(Rencontres_N3_PN_Rx[[#This Row],[KM_JA]]*0.3)+25,0)</f>
        <v>0</v>
      </c>
      <c r="X137" s="102">
        <f>IF(Rencontres_N3_PN_Rx[[#This Row],[defiscal]]="OUI",Rencontres_N3_PN_Rx[[#This Row],[Peages]]+(Rencontres_N3_PN_Rx[[#This Row],[KM_JA]]*0.3),0)</f>
        <v>0</v>
      </c>
    </row>
    <row r="138" spans="1:24" x14ac:dyDescent="0.25">
      <c r="A138" s="101">
        <v>137</v>
      </c>
      <c r="B138" s="100" t="s">
        <v>2541</v>
      </c>
      <c r="C138" s="104">
        <v>46004</v>
      </c>
      <c r="D138" s="100" t="s">
        <v>2542</v>
      </c>
      <c r="E138" s="106" t="s">
        <v>4128</v>
      </c>
      <c r="F138" s="100" t="s">
        <v>2543</v>
      </c>
      <c r="G138" s="100" t="s">
        <v>2566</v>
      </c>
      <c r="H138" s="100" t="s">
        <v>2631</v>
      </c>
      <c r="I138" s="100">
        <v>2</v>
      </c>
      <c r="J138" s="100">
        <v>1</v>
      </c>
      <c r="L138" s="100" t="s">
        <v>2736</v>
      </c>
      <c r="M138" s="100" t="s">
        <v>813</v>
      </c>
      <c r="N138" s="100" t="s">
        <v>2638</v>
      </c>
      <c r="O138" s="100" t="s">
        <v>2673</v>
      </c>
      <c r="P138" s="100">
        <v>50</v>
      </c>
      <c r="Q138" s="100" t="s">
        <v>2552</v>
      </c>
      <c r="R138" s="100" t="str">
        <f>IFERROR(VLOOKUP(Rencontres_N3_PN_Rx[[#This Row],[Code_JA]],tab_JA[#All],3,FALSE)&amp;" "&amp;VLOOKUP(Rencontres_N3_PN_Rx[[#This Row],[Code_JA]],tab_JA[#All],4,FALSE),"")</f>
        <v/>
      </c>
      <c r="S138" s="101">
        <f>IF(Rencontres_N3_PN_Rx[[#This Row],[Code_JA]]&lt;&gt;"",COUNTIF(Rencontres_N3_PN_Rx[Code_JA],Rencontres_N3_PN_Rx[[#This Row],[Code_JA]]),0)</f>
        <v>0</v>
      </c>
      <c r="T138" s="102">
        <v>0</v>
      </c>
      <c r="U138" s="103">
        <v>0</v>
      </c>
      <c r="V138" s="102">
        <f>IF(AND(Rencontres_N3_PN_Rx[[#This Row],[JA à nommer]]="oui",Rencontres_N3_PN_Rx[[#This Row],[Code_JA]]&lt;&gt;""),Rencontres_N3_PN_Rx[[#This Row],[Peages]]+(Rencontres_N3_PN_Rx[[#This Row],[KM_JA]]*0.3)+25,0)</f>
        <v>0</v>
      </c>
      <c r="X138" s="102">
        <f>IF(Rencontres_N3_PN_Rx[[#This Row],[defiscal]]="OUI",Rencontres_N3_PN_Rx[[#This Row],[Peages]]+(Rencontres_N3_PN_Rx[[#This Row],[KM_JA]]*0.3),0)</f>
        <v>0</v>
      </c>
    </row>
    <row r="139" spans="1:24" x14ac:dyDescent="0.25">
      <c r="A139" s="101">
        <v>138</v>
      </c>
      <c r="B139" s="100" t="s">
        <v>2541</v>
      </c>
      <c r="C139" s="104">
        <v>46004</v>
      </c>
      <c r="D139" s="100" t="s">
        <v>2542</v>
      </c>
      <c r="E139" s="106" t="s">
        <v>4129</v>
      </c>
      <c r="F139" s="100" t="s">
        <v>2543</v>
      </c>
      <c r="G139" s="100" t="s">
        <v>2566</v>
      </c>
      <c r="H139" s="100" t="s">
        <v>2631</v>
      </c>
      <c r="I139" s="100">
        <v>2</v>
      </c>
      <c r="J139" s="100">
        <v>1</v>
      </c>
      <c r="L139" s="100" t="s">
        <v>2736</v>
      </c>
      <c r="M139" s="100" t="s">
        <v>691</v>
      </c>
      <c r="N139" s="100" t="s">
        <v>2643</v>
      </c>
      <c r="O139" s="100" t="s">
        <v>2641</v>
      </c>
      <c r="P139" s="100">
        <v>50</v>
      </c>
      <c r="Q139" s="100" t="s">
        <v>2197</v>
      </c>
      <c r="R139" s="100" t="str">
        <f>IFERROR(VLOOKUP(Rencontres_N3_PN_Rx[[#This Row],[Code_JA]],tab_JA[#All],3,FALSE)&amp;" "&amp;VLOOKUP(Rencontres_N3_PN_Rx[[#This Row],[Code_JA]],tab_JA[#All],4,FALSE),"")</f>
        <v>RELET Pascal</v>
      </c>
      <c r="S139" s="101">
        <f>IF(Rencontres_N3_PN_Rx[[#This Row],[Code_JA]]&lt;&gt;"",COUNTIF(Rencontres_N3_PN_Rx[Code_JA],Rencontres_N3_PN_Rx[[#This Row],[Code_JA]]),0)</f>
        <v>9</v>
      </c>
      <c r="T139" s="102">
        <v>0</v>
      </c>
      <c r="U139" s="103">
        <v>10</v>
      </c>
      <c r="V139" s="102">
        <f>IF(AND(Rencontres_N3_PN_Rx[[#This Row],[JA à nommer]]="oui",Rencontres_N3_PN_Rx[[#This Row],[Code_JA]]&lt;&gt;""),Rencontres_N3_PN_Rx[[#This Row],[Peages]]+(Rencontres_N3_PN_Rx[[#This Row],[KM_JA]]*0.3)+25,0)</f>
        <v>28</v>
      </c>
      <c r="X139" s="102">
        <f>IF(Rencontres_N3_PN_Rx[[#This Row],[defiscal]]="OUI",Rencontres_N3_PN_Rx[[#This Row],[Peages]]+(Rencontres_N3_PN_Rx[[#This Row],[KM_JA]]*0.3),0)</f>
        <v>0</v>
      </c>
    </row>
    <row r="140" spans="1:24" x14ac:dyDescent="0.25">
      <c r="A140" s="101">
        <v>139</v>
      </c>
      <c r="B140" s="100" t="s">
        <v>2541</v>
      </c>
      <c r="C140" s="104">
        <v>46004</v>
      </c>
      <c r="D140" s="100" t="s">
        <v>2542</v>
      </c>
      <c r="E140" s="106" t="s">
        <v>4128</v>
      </c>
      <c r="F140" s="100" t="s">
        <v>2543</v>
      </c>
      <c r="G140" s="100" t="s">
        <v>2566</v>
      </c>
      <c r="H140" s="100" t="s">
        <v>2631</v>
      </c>
      <c r="I140" s="100">
        <v>3</v>
      </c>
      <c r="J140" s="100">
        <v>1</v>
      </c>
      <c r="L140" s="100" t="s">
        <v>2736</v>
      </c>
      <c r="M140" s="100" t="s">
        <v>765</v>
      </c>
      <c r="N140" s="100" t="s">
        <v>2649</v>
      </c>
      <c r="O140" s="100" t="s">
        <v>2675</v>
      </c>
      <c r="P140" s="100">
        <v>50</v>
      </c>
      <c r="Q140" s="100" t="s">
        <v>3316</v>
      </c>
      <c r="R140" s="100" t="str">
        <f>IFERROR(VLOOKUP(Rencontres_N3_PN_Rx[[#This Row],[Code_JA]],tab_JA[#All],3,FALSE)&amp;" "&amp;VLOOKUP(Rencontres_N3_PN_Rx[[#This Row],[Code_JA]],tab_JA[#All],4,FALSE),"")</f>
        <v>LEPILLIEZ Laurent</v>
      </c>
      <c r="S140" s="101">
        <f>IF(Rencontres_N3_PN_Rx[[#This Row],[Code_JA]]&lt;&gt;"",COUNTIF(Rencontres_N3_PN_Rx[Code_JA],Rencontres_N3_PN_Rx[[#This Row],[Code_JA]]),0)</f>
        <v>3</v>
      </c>
      <c r="T140" s="102">
        <v>0</v>
      </c>
      <c r="U140" s="103">
        <v>0</v>
      </c>
      <c r="V140" s="102">
        <f>IF(AND(Rencontres_N3_PN_Rx[[#This Row],[JA à nommer]]="oui",Rencontres_N3_PN_Rx[[#This Row],[Code_JA]]&lt;&gt;""),Rencontres_N3_PN_Rx[[#This Row],[Peages]]+(Rencontres_N3_PN_Rx[[#This Row],[KM_JA]]*0.3)+25,0)</f>
        <v>0</v>
      </c>
      <c r="X140" s="102">
        <f>IF(Rencontres_N3_PN_Rx[[#This Row],[defiscal]]="OUI",Rencontres_N3_PN_Rx[[#This Row],[Peages]]+(Rencontres_N3_PN_Rx[[#This Row],[KM_JA]]*0.3),0)</f>
        <v>0</v>
      </c>
    </row>
    <row r="141" spans="1:24" x14ac:dyDescent="0.25">
      <c r="A141" s="101">
        <v>140</v>
      </c>
      <c r="B141" s="100" t="s">
        <v>2541</v>
      </c>
      <c r="C141" s="104">
        <v>46004</v>
      </c>
      <c r="D141" s="100" t="s">
        <v>2542</v>
      </c>
      <c r="E141" s="106" t="s">
        <v>4129</v>
      </c>
      <c r="F141" s="100" t="s">
        <v>2543</v>
      </c>
      <c r="G141" s="100" t="s">
        <v>2566</v>
      </c>
      <c r="H141" s="100" t="s">
        <v>2631</v>
      </c>
      <c r="I141" s="100">
        <v>4</v>
      </c>
      <c r="J141" s="100">
        <v>1</v>
      </c>
      <c r="L141" s="100" t="s">
        <v>2736</v>
      </c>
      <c r="M141" s="100" t="s">
        <v>1714</v>
      </c>
      <c r="N141" s="100" t="s">
        <v>2656</v>
      </c>
      <c r="O141" s="100" t="s">
        <v>2653</v>
      </c>
      <c r="P141" s="100">
        <v>50</v>
      </c>
      <c r="Q141" s="100" t="s">
        <v>3315</v>
      </c>
      <c r="R141" s="100" t="str">
        <f>IFERROR(VLOOKUP(Rencontres_N3_PN_Rx[[#This Row],[Code_JA]],tab_JA[#All],3,FALSE)&amp;" "&amp;VLOOKUP(Rencontres_N3_PN_Rx[[#This Row],[Code_JA]],tab_JA[#All],4,FALSE),"")</f>
        <v>LEPETIT Jean-Marc</v>
      </c>
      <c r="S141" s="101">
        <f>IF(Rencontres_N3_PN_Rx[[#This Row],[Code_JA]]&lt;&gt;"",COUNTIF(Rencontres_N3_PN_Rx[Code_JA],Rencontres_N3_PN_Rx[[#This Row],[Code_JA]]),0)</f>
        <v>3</v>
      </c>
      <c r="T141" s="102">
        <v>0</v>
      </c>
      <c r="U141" s="103">
        <v>52</v>
      </c>
      <c r="V141" s="102">
        <f>IF(AND(Rencontres_N3_PN_Rx[[#This Row],[JA à nommer]]="oui",Rencontres_N3_PN_Rx[[#This Row],[Code_JA]]&lt;&gt;""),Rencontres_N3_PN_Rx[[#This Row],[Peages]]+(Rencontres_N3_PN_Rx[[#This Row],[KM_JA]]*0.3)+25,0)</f>
        <v>40.6</v>
      </c>
      <c r="X141" s="102">
        <f>IF(Rencontres_N3_PN_Rx[[#This Row],[defiscal]]="OUI",Rencontres_N3_PN_Rx[[#This Row],[Peages]]+(Rencontres_N3_PN_Rx[[#This Row],[KM_JA]]*0.3),0)</f>
        <v>0</v>
      </c>
    </row>
    <row r="142" spans="1:24" x14ac:dyDescent="0.25">
      <c r="A142" s="101">
        <v>141</v>
      </c>
      <c r="B142" s="100" t="s">
        <v>2541</v>
      </c>
      <c r="C142" s="104">
        <v>46004</v>
      </c>
      <c r="D142" s="100" t="s">
        <v>2542</v>
      </c>
      <c r="E142" s="106" t="s">
        <v>4129</v>
      </c>
      <c r="F142" s="100" t="s">
        <v>2543</v>
      </c>
      <c r="G142" s="100" t="s">
        <v>2566</v>
      </c>
      <c r="H142" s="100" t="s">
        <v>2631</v>
      </c>
      <c r="I142" s="100">
        <v>4</v>
      </c>
      <c r="J142" s="100">
        <v>1</v>
      </c>
      <c r="L142" s="100" t="s">
        <v>2736</v>
      </c>
      <c r="M142" s="100" t="s">
        <v>173</v>
      </c>
      <c r="N142" s="100" t="s">
        <v>2657</v>
      </c>
      <c r="O142" s="100" t="s">
        <v>2655</v>
      </c>
      <c r="P142" s="100">
        <v>50</v>
      </c>
      <c r="Q142" s="100" t="s">
        <v>1706</v>
      </c>
      <c r="R142" s="100" t="str">
        <f>IFERROR(VLOOKUP(Rencontres_N3_PN_Rx[[#This Row],[Code_JA]],tab_JA[#All],3,FALSE)&amp;" "&amp;VLOOKUP(Rencontres_N3_PN_Rx[[#This Row],[Code_JA]],tab_JA[#All],4,FALSE),"")</f>
        <v>LEMPERIERE Philippe</v>
      </c>
      <c r="S142" s="101">
        <f>IF(Rencontres_N3_PN_Rx[[#This Row],[Code_JA]]&lt;&gt;"",COUNTIF(Rencontres_N3_PN_Rx[Code_JA],Rencontres_N3_PN_Rx[[#This Row],[Code_JA]]),0)</f>
        <v>3</v>
      </c>
      <c r="T142" s="102">
        <v>0</v>
      </c>
      <c r="U142" s="103">
        <v>45</v>
      </c>
      <c r="V142" s="102">
        <f>IF(AND(Rencontres_N3_PN_Rx[[#This Row],[JA à nommer]]="oui",Rencontres_N3_PN_Rx[[#This Row],[Code_JA]]&lt;&gt;""),Rencontres_N3_PN_Rx[[#This Row],[Peages]]+(Rencontres_N3_PN_Rx[[#This Row],[KM_JA]]*0.3)+25,0)</f>
        <v>38.5</v>
      </c>
      <c r="X142" s="102">
        <f>IF(Rencontres_N3_PN_Rx[[#This Row],[defiscal]]="OUI",Rencontres_N3_PN_Rx[[#This Row],[Peages]]+(Rencontres_N3_PN_Rx[[#This Row],[KM_JA]]*0.3),0)</f>
        <v>0</v>
      </c>
    </row>
    <row r="143" spans="1:24" x14ac:dyDescent="0.25">
      <c r="A143" s="101">
        <v>142</v>
      </c>
      <c r="B143" s="100" t="s">
        <v>2541</v>
      </c>
      <c r="C143" s="104">
        <v>46004</v>
      </c>
      <c r="D143" s="100" t="s">
        <v>2542</v>
      </c>
      <c r="E143" s="106" t="s">
        <v>4129</v>
      </c>
      <c r="F143" s="100" t="s">
        <v>2543</v>
      </c>
      <c r="G143" s="100" t="s">
        <v>2544</v>
      </c>
      <c r="H143" s="100" t="s">
        <v>2545</v>
      </c>
      <c r="I143" s="100">
        <v>2</v>
      </c>
      <c r="J143" s="100">
        <v>1</v>
      </c>
      <c r="L143" s="100" t="s">
        <v>2736</v>
      </c>
      <c r="M143" s="100" t="s">
        <v>189</v>
      </c>
      <c r="N143" s="100" t="s">
        <v>2547</v>
      </c>
      <c r="O143" s="100" t="s">
        <v>2737</v>
      </c>
      <c r="P143" s="100">
        <v>50</v>
      </c>
      <c r="Q143" s="100" t="s">
        <v>1366</v>
      </c>
      <c r="R143" s="100" t="str">
        <f>IFERROR(VLOOKUP(Rencontres_N3_PN_Rx[[#This Row],[Code_JA]],tab_JA[#All],3,FALSE)&amp;" "&amp;VLOOKUP(Rencontres_N3_PN_Rx[[#This Row],[Code_JA]],tab_JA[#All],4,FALSE),"")</f>
        <v>JOURDAIN Jean-Francois</v>
      </c>
      <c r="S143" s="101">
        <f>IF(Rencontres_N3_PN_Rx[[#This Row],[Code_JA]]&lt;&gt;"",COUNTIF(Rencontres_N3_PN_Rx[Code_JA],Rencontres_N3_PN_Rx[[#This Row],[Code_JA]]),0)</f>
        <v>6</v>
      </c>
      <c r="T143" s="102">
        <v>0</v>
      </c>
      <c r="U143" s="103">
        <v>46</v>
      </c>
      <c r="V143" s="102">
        <f>IF(AND(Rencontres_N3_PN_Rx[[#This Row],[JA à nommer]]="oui",Rencontres_N3_PN_Rx[[#This Row],[Code_JA]]&lt;&gt;""),Rencontres_N3_PN_Rx[[#This Row],[Peages]]+(Rencontres_N3_PN_Rx[[#This Row],[KM_JA]]*0.3)+25,0)</f>
        <v>38.799999999999997</v>
      </c>
      <c r="X143" s="102">
        <f>IF(Rencontres_N3_PN_Rx[[#This Row],[defiscal]]="OUI",Rencontres_N3_PN_Rx[[#This Row],[Peages]]+(Rencontres_N3_PN_Rx[[#This Row],[KM_JA]]*0.3),0)</f>
        <v>0</v>
      </c>
    </row>
    <row r="144" spans="1:24" x14ac:dyDescent="0.25">
      <c r="A144" s="101">
        <v>143</v>
      </c>
      <c r="B144" s="100" t="s">
        <v>2541</v>
      </c>
      <c r="C144" s="104">
        <v>46004</v>
      </c>
      <c r="D144" s="100" t="s">
        <v>2542</v>
      </c>
      <c r="E144" s="106" t="s">
        <v>4129</v>
      </c>
      <c r="F144" s="100" t="s">
        <v>2543</v>
      </c>
      <c r="G144" s="100" t="s">
        <v>2544</v>
      </c>
      <c r="H144" s="100" t="s">
        <v>2549</v>
      </c>
      <c r="I144" s="100">
        <v>8</v>
      </c>
      <c r="J144" s="100">
        <v>1</v>
      </c>
      <c r="L144" s="100" t="s">
        <v>2736</v>
      </c>
      <c r="M144" s="100" t="s">
        <v>478</v>
      </c>
      <c r="N144" s="100" t="s">
        <v>2550</v>
      </c>
      <c r="O144" s="100" t="s">
        <v>2553</v>
      </c>
      <c r="P144" s="100">
        <v>50</v>
      </c>
      <c r="Q144" s="100" t="s">
        <v>1150</v>
      </c>
      <c r="R144" s="100" t="str">
        <f>IFERROR(VLOOKUP(Rencontres_N3_PN_Rx[[#This Row],[Code_JA]],tab_JA[#All],3,FALSE)&amp;" "&amp;VLOOKUP(Rencontres_N3_PN_Rx[[#This Row],[Code_JA]],tab_JA[#All],4,FALSE),"")</f>
        <v>GOUTTE Dominique</v>
      </c>
      <c r="S144" s="101">
        <f>IF(Rencontres_N3_PN_Rx[[#This Row],[Code_JA]]&lt;&gt;"",COUNTIF(Rencontres_N3_PN_Rx[Code_JA],Rencontres_N3_PN_Rx[[#This Row],[Code_JA]]),0)</f>
        <v>12</v>
      </c>
      <c r="T144" s="102">
        <v>0</v>
      </c>
      <c r="U144" s="103">
        <v>51</v>
      </c>
      <c r="V144" s="102">
        <f>IF(AND(Rencontres_N3_PN_Rx[[#This Row],[JA à nommer]]="oui",Rencontres_N3_PN_Rx[[#This Row],[Code_JA]]&lt;&gt;""),Rencontres_N3_PN_Rx[[#This Row],[Peages]]+(Rencontres_N3_PN_Rx[[#This Row],[KM_JA]]*0.3)+25,0)</f>
        <v>40.299999999999997</v>
      </c>
      <c r="X144" s="102">
        <f>IF(Rencontres_N3_PN_Rx[[#This Row],[defiscal]]="OUI",Rencontres_N3_PN_Rx[[#This Row],[Peages]]+(Rencontres_N3_PN_Rx[[#This Row],[KM_JA]]*0.3),0)</f>
        <v>0</v>
      </c>
    </row>
    <row r="145" spans="1:24" x14ac:dyDescent="0.25">
      <c r="A145" s="101">
        <v>144</v>
      </c>
      <c r="B145" s="100" t="s">
        <v>2658</v>
      </c>
      <c r="C145" s="104">
        <v>46005</v>
      </c>
      <c r="D145" s="100" t="s">
        <v>2659</v>
      </c>
      <c r="E145" s="106" t="s">
        <v>4129</v>
      </c>
      <c r="F145" s="100" t="s">
        <v>2543</v>
      </c>
      <c r="G145" s="100" t="s">
        <v>2566</v>
      </c>
      <c r="H145" s="100" t="s">
        <v>2557</v>
      </c>
      <c r="I145" s="100">
        <v>2</v>
      </c>
      <c r="J145" s="100">
        <v>1</v>
      </c>
      <c r="L145" s="100" t="s">
        <v>2736</v>
      </c>
      <c r="M145" s="100" t="s">
        <v>734</v>
      </c>
      <c r="N145" s="100" t="s">
        <v>2660</v>
      </c>
      <c r="O145" s="100" t="s">
        <v>2575</v>
      </c>
      <c r="P145" s="100">
        <v>50</v>
      </c>
      <c r="Q145" s="100" t="s">
        <v>165</v>
      </c>
      <c r="R145" s="100" t="str">
        <f>IFERROR(VLOOKUP(Rencontres_N3_PN_Rx[[#This Row],[Code_JA]],tab_JA[#All],3,FALSE)&amp;" "&amp;VLOOKUP(Rencontres_N3_PN_Rx[[#This Row],[Code_JA]],tab_JA[#All],4,FALSE),"")</f>
        <v>BELHOSTE Morgane</v>
      </c>
      <c r="S145" s="101">
        <f>IF(Rencontres_N3_PN_Rx[[#This Row],[Code_JA]]&lt;&gt;"",COUNTIF(Rencontres_N3_PN_Rx[Code_JA],Rencontres_N3_PN_Rx[[#This Row],[Code_JA]]),0)</f>
        <v>4</v>
      </c>
      <c r="T145" s="102">
        <v>0</v>
      </c>
      <c r="U145" s="103">
        <v>26</v>
      </c>
      <c r="V145" s="102">
        <f>IF(AND(Rencontres_N3_PN_Rx[[#This Row],[JA à nommer]]="oui",Rencontres_N3_PN_Rx[[#This Row],[Code_JA]]&lt;&gt;""),Rencontres_N3_PN_Rx[[#This Row],[Peages]]+(Rencontres_N3_PN_Rx[[#This Row],[KM_JA]]*0.3)+25,0)</f>
        <v>32.799999999999997</v>
      </c>
      <c r="X145" s="102">
        <f>IF(Rencontres_N3_PN_Rx[[#This Row],[defiscal]]="OUI",Rencontres_N3_PN_Rx[[#This Row],[Peages]]+(Rencontres_N3_PN_Rx[[#This Row],[KM_JA]]*0.3),0)</f>
        <v>0</v>
      </c>
    </row>
    <row r="146" spans="1:24" x14ac:dyDescent="0.25">
      <c r="A146" s="101">
        <v>145</v>
      </c>
      <c r="B146" s="100" t="s">
        <v>2658</v>
      </c>
      <c r="C146" s="104">
        <v>46005</v>
      </c>
      <c r="D146" s="100" t="s">
        <v>2659</v>
      </c>
      <c r="E146" s="106" t="s">
        <v>4129</v>
      </c>
      <c r="F146" s="100" t="s">
        <v>2543</v>
      </c>
      <c r="G146" s="100" t="s">
        <v>2566</v>
      </c>
      <c r="H146" s="100" t="s">
        <v>2581</v>
      </c>
      <c r="I146" s="100">
        <v>2</v>
      </c>
      <c r="J146" s="100">
        <v>1</v>
      </c>
      <c r="L146" s="100" t="s">
        <v>2736</v>
      </c>
      <c r="M146" s="100" t="s">
        <v>1591</v>
      </c>
      <c r="N146" s="100" t="s">
        <v>2593</v>
      </c>
      <c r="O146" s="100" t="s">
        <v>2665</v>
      </c>
      <c r="P146" s="100">
        <v>50</v>
      </c>
      <c r="Q146" s="100" t="s">
        <v>1794</v>
      </c>
      <c r="R146" s="100" t="str">
        <f>IFERROR(VLOOKUP(Rencontres_N3_PN_Rx[[#This Row],[Code_JA]],tab_JA[#All],3,FALSE)&amp;" "&amp;VLOOKUP(Rencontres_N3_PN_Rx[[#This Row],[Code_JA]],tab_JA[#All],4,FALSE),"")</f>
        <v>LETENDRE Dominique</v>
      </c>
      <c r="S146" s="101">
        <f>IF(Rencontres_N3_PN_Rx[[#This Row],[Code_JA]]&lt;&gt;"",COUNTIF(Rencontres_N3_PN_Rx[Code_JA],Rencontres_N3_PN_Rx[[#This Row],[Code_JA]]),0)</f>
        <v>6</v>
      </c>
      <c r="T146" s="102">
        <v>0</v>
      </c>
      <c r="U146" s="103">
        <v>87</v>
      </c>
      <c r="V146" s="102">
        <f>IF(AND(Rencontres_N3_PN_Rx[[#This Row],[JA à nommer]]="oui",Rencontres_N3_PN_Rx[[#This Row],[Code_JA]]&lt;&gt;""),Rencontres_N3_PN_Rx[[#This Row],[Peages]]+(Rencontres_N3_PN_Rx[[#This Row],[KM_JA]]*0.3)+25,0)</f>
        <v>51.099999999999994</v>
      </c>
      <c r="X146" s="102">
        <f>IF(Rencontres_N3_PN_Rx[[#This Row],[defiscal]]="OUI",Rencontres_N3_PN_Rx[[#This Row],[Peages]]+(Rencontres_N3_PN_Rx[[#This Row],[KM_JA]]*0.3),0)</f>
        <v>0</v>
      </c>
    </row>
    <row r="147" spans="1:24" x14ac:dyDescent="0.25">
      <c r="A147" s="101">
        <v>146</v>
      </c>
      <c r="B147" s="100" t="s">
        <v>2658</v>
      </c>
      <c r="C147" s="104">
        <v>46005</v>
      </c>
      <c r="D147" s="100" t="s">
        <v>2659</v>
      </c>
      <c r="E147" s="106" t="s">
        <v>4129</v>
      </c>
      <c r="F147" s="100" t="s">
        <v>2543</v>
      </c>
      <c r="G147" s="100" t="s">
        <v>2566</v>
      </c>
      <c r="H147" s="100" t="s">
        <v>2581</v>
      </c>
      <c r="I147" s="100">
        <v>3</v>
      </c>
      <c r="J147" s="100">
        <v>1</v>
      </c>
      <c r="L147" s="100" t="s">
        <v>2736</v>
      </c>
      <c r="M147" s="100" t="s">
        <v>478</v>
      </c>
      <c r="N147" s="100" t="s">
        <v>2666</v>
      </c>
      <c r="O147" s="100" t="s">
        <v>2595</v>
      </c>
      <c r="P147" s="100">
        <v>50</v>
      </c>
      <c r="Q147" s="100" t="s">
        <v>1366</v>
      </c>
      <c r="R147" s="100" t="str">
        <f>IFERROR(VLOOKUP(Rencontres_N3_PN_Rx[[#This Row],[Code_JA]],tab_JA[#All],3,FALSE)&amp;" "&amp;VLOOKUP(Rencontres_N3_PN_Rx[[#This Row],[Code_JA]],tab_JA[#All],4,FALSE),"")</f>
        <v>JOURDAIN Jean-Francois</v>
      </c>
      <c r="S147" s="101">
        <f>IF(Rencontres_N3_PN_Rx[[#This Row],[Code_JA]]&lt;&gt;"",COUNTIF(Rencontres_N3_PN_Rx[Code_JA],Rencontres_N3_PN_Rx[[#This Row],[Code_JA]]),0)</f>
        <v>6</v>
      </c>
      <c r="T147" s="102">
        <v>0</v>
      </c>
      <c r="U147" s="103">
        <v>95</v>
      </c>
      <c r="V147" s="102">
        <f>IF(AND(Rencontres_N3_PN_Rx[[#This Row],[JA à nommer]]="oui",Rencontres_N3_PN_Rx[[#This Row],[Code_JA]]&lt;&gt;""),Rencontres_N3_PN_Rx[[#This Row],[Peages]]+(Rencontres_N3_PN_Rx[[#This Row],[KM_JA]]*0.3)+25,0)</f>
        <v>53.5</v>
      </c>
      <c r="X147" s="102">
        <f>IF(Rencontres_N3_PN_Rx[[#This Row],[defiscal]]="OUI",Rencontres_N3_PN_Rx[[#This Row],[Peages]]+(Rencontres_N3_PN_Rx[[#This Row],[KM_JA]]*0.3),0)</f>
        <v>0</v>
      </c>
    </row>
    <row r="148" spans="1:24" x14ac:dyDescent="0.25">
      <c r="A148" s="101">
        <v>147</v>
      </c>
      <c r="B148" s="100" t="s">
        <v>2658</v>
      </c>
      <c r="C148" s="104">
        <v>46005</v>
      </c>
      <c r="D148" s="100" t="s">
        <v>2659</v>
      </c>
      <c r="E148" s="106" t="s">
        <v>4128</v>
      </c>
      <c r="F148" s="100" t="s">
        <v>2543</v>
      </c>
      <c r="G148" s="100" t="s">
        <v>2566</v>
      </c>
      <c r="H148" s="100" t="s">
        <v>2631</v>
      </c>
      <c r="I148" s="100">
        <v>1</v>
      </c>
      <c r="J148" s="100">
        <v>1</v>
      </c>
      <c r="L148" s="100" t="s">
        <v>2736</v>
      </c>
      <c r="M148" s="100" t="s">
        <v>478</v>
      </c>
      <c r="N148" s="100" t="s">
        <v>2670</v>
      </c>
      <c r="O148" s="100" t="s">
        <v>2633</v>
      </c>
      <c r="P148" s="100">
        <v>50</v>
      </c>
      <c r="Q148" s="100" t="s">
        <v>2358</v>
      </c>
      <c r="R148" s="100" t="str">
        <f>IFERROR(VLOOKUP(Rencontres_N3_PN_Rx[[#This Row],[Code_JA]],tab_JA[#All],3,FALSE)&amp;" "&amp;VLOOKUP(Rencontres_N3_PN_Rx[[#This Row],[Code_JA]],tab_JA[#All],4,FALSE),"")</f>
        <v>TEURTERIE Laurence</v>
      </c>
      <c r="S148" s="101">
        <f>IF(Rencontres_N3_PN_Rx[[#This Row],[Code_JA]]&lt;&gt;"",COUNTIF(Rencontres_N3_PN_Rx[Code_JA],Rencontres_N3_PN_Rx[[#This Row],[Code_JA]]),0)</f>
        <v>4</v>
      </c>
      <c r="T148" s="102">
        <v>0</v>
      </c>
      <c r="U148" s="103">
        <v>0</v>
      </c>
      <c r="V148" s="102">
        <f>IF(AND(Rencontres_N3_PN_Rx[[#This Row],[JA à nommer]]="oui",Rencontres_N3_PN_Rx[[#This Row],[Code_JA]]&lt;&gt;""),Rencontres_N3_PN_Rx[[#This Row],[Peages]]+(Rencontres_N3_PN_Rx[[#This Row],[KM_JA]]*0.3)+25,0)</f>
        <v>0</v>
      </c>
      <c r="X148" s="102">
        <f>IF(Rencontres_N3_PN_Rx[[#This Row],[defiscal]]="OUI",Rencontres_N3_PN_Rx[[#This Row],[Peages]]+(Rencontres_N3_PN_Rx[[#This Row],[KM_JA]]*0.3),0)</f>
        <v>0</v>
      </c>
    </row>
    <row r="149" spans="1:24" x14ac:dyDescent="0.25">
      <c r="A149" s="101">
        <v>148</v>
      </c>
      <c r="B149" s="100" t="s">
        <v>2658</v>
      </c>
      <c r="C149" s="104">
        <v>46005</v>
      </c>
      <c r="D149" s="100" t="s">
        <v>2659</v>
      </c>
      <c r="E149" s="106" t="s">
        <v>4128</v>
      </c>
      <c r="F149" s="100" t="s">
        <v>2543</v>
      </c>
      <c r="G149" s="100" t="s">
        <v>2566</v>
      </c>
      <c r="H149" s="100" t="s">
        <v>2631</v>
      </c>
      <c r="I149" s="100">
        <v>3</v>
      </c>
      <c r="J149" s="100">
        <v>1</v>
      </c>
      <c r="L149" s="100" t="s">
        <v>2736</v>
      </c>
      <c r="M149" s="100" t="s">
        <v>734</v>
      </c>
      <c r="N149" s="100" t="s">
        <v>2674</v>
      </c>
      <c r="O149" s="100" t="s">
        <v>2644</v>
      </c>
      <c r="P149" s="100">
        <v>50</v>
      </c>
      <c r="Q149" s="100" t="s">
        <v>165</v>
      </c>
      <c r="R149" s="100" t="str">
        <f>IFERROR(VLOOKUP(Rencontres_N3_PN_Rx[[#This Row],[Code_JA]],tab_JA[#All],3,FALSE)&amp;" "&amp;VLOOKUP(Rencontres_N3_PN_Rx[[#This Row],[Code_JA]],tab_JA[#All],4,FALSE),"")</f>
        <v>BELHOSTE Morgane</v>
      </c>
      <c r="S149" s="101">
        <f>IF(Rencontres_N3_PN_Rx[[#This Row],[Code_JA]]&lt;&gt;"",COUNTIF(Rencontres_N3_PN_Rx[Code_JA],Rencontres_N3_PN_Rx[[#This Row],[Code_JA]]),0)</f>
        <v>4</v>
      </c>
      <c r="T149" s="102">
        <v>0</v>
      </c>
      <c r="U149" s="103">
        <v>0</v>
      </c>
      <c r="V149" s="102">
        <f>IF(AND(Rencontres_N3_PN_Rx[[#This Row],[JA à nommer]]="oui",Rencontres_N3_PN_Rx[[#This Row],[Code_JA]]&lt;&gt;""),Rencontres_N3_PN_Rx[[#This Row],[Peages]]+(Rencontres_N3_PN_Rx[[#This Row],[KM_JA]]*0.3)+25,0)</f>
        <v>0</v>
      </c>
      <c r="X149" s="102">
        <f>IF(Rencontres_N3_PN_Rx[[#This Row],[defiscal]]="OUI",Rencontres_N3_PN_Rx[[#This Row],[Peages]]+(Rencontres_N3_PN_Rx[[#This Row],[KM_JA]]*0.3),0)</f>
        <v>0</v>
      </c>
    </row>
    <row r="150" spans="1:24" x14ac:dyDescent="0.25">
      <c r="A150" s="101">
        <v>149</v>
      </c>
      <c r="B150" s="100" t="s">
        <v>2541</v>
      </c>
      <c r="C150" s="104">
        <v>46032</v>
      </c>
      <c r="D150" s="100" t="s">
        <v>2542</v>
      </c>
      <c r="E150" s="106" t="s">
        <v>4129</v>
      </c>
      <c r="F150" s="100" t="s">
        <v>2543</v>
      </c>
      <c r="G150" s="100" t="s">
        <v>2566</v>
      </c>
      <c r="H150" s="100" t="s">
        <v>2557</v>
      </c>
      <c r="I150" s="100">
        <v>1</v>
      </c>
      <c r="J150" s="100">
        <v>1</v>
      </c>
      <c r="L150" s="100" t="s">
        <v>2738</v>
      </c>
      <c r="M150" s="100" t="s">
        <v>98</v>
      </c>
      <c r="N150" s="100" t="s">
        <v>2570</v>
      </c>
      <c r="O150" s="100" t="s">
        <v>2571</v>
      </c>
      <c r="P150" s="100">
        <v>50</v>
      </c>
      <c r="Q150" s="100" t="s">
        <v>831</v>
      </c>
      <c r="R150" s="100" t="str">
        <f>IFERROR(VLOOKUP(Rencontres_N3_PN_Rx[[#This Row],[Code_JA]],tab_JA[#All],3,FALSE)&amp;" "&amp;VLOOKUP(Rencontres_N3_PN_Rx[[#This Row],[Code_JA]],tab_JA[#All],4,FALSE),"")</f>
        <v>DERENNE Joël</v>
      </c>
      <c r="S150" s="101">
        <f>IF(Rencontres_N3_PN_Rx[[#This Row],[Code_JA]]&lt;&gt;"",COUNTIF(Rencontres_N3_PN_Rx[Code_JA],Rencontres_N3_PN_Rx[[#This Row],[Code_JA]]),0)</f>
        <v>2</v>
      </c>
      <c r="T150" s="102">
        <v>0</v>
      </c>
      <c r="U150" s="103">
        <v>63</v>
      </c>
      <c r="V150" s="102">
        <f>IF(AND(Rencontres_N3_PN_Rx[[#This Row],[JA à nommer]]="oui",Rencontres_N3_PN_Rx[[#This Row],[Code_JA]]&lt;&gt;""),Rencontres_N3_PN_Rx[[#This Row],[Peages]]+(Rencontres_N3_PN_Rx[[#This Row],[KM_JA]]*0.3)+25,0)</f>
        <v>43.9</v>
      </c>
      <c r="X150" s="102">
        <f>IF(Rencontres_N3_PN_Rx[[#This Row],[defiscal]]="OUI",Rencontres_N3_PN_Rx[[#This Row],[Peages]]+(Rencontres_N3_PN_Rx[[#This Row],[KM_JA]]*0.3),0)</f>
        <v>0</v>
      </c>
    </row>
    <row r="151" spans="1:24" x14ac:dyDescent="0.25">
      <c r="A151" s="101">
        <v>150</v>
      </c>
      <c r="B151" s="100" t="s">
        <v>2541</v>
      </c>
      <c r="C151" s="104">
        <v>46032</v>
      </c>
      <c r="D151" s="100" t="s">
        <v>2542</v>
      </c>
      <c r="E151" s="106" t="s">
        <v>4129</v>
      </c>
      <c r="F151" s="100" t="s">
        <v>2543</v>
      </c>
      <c r="G151" s="100" t="s">
        <v>2566</v>
      </c>
      <c r="H151" s="100" t="s">
        <v>2557</v>
      </c>
      <c r="I151" s="100">
        <v>1</v>
      </c>
      <c r="J151" s="100">
        <v>1</v>
      </c>
      <c r="L151" s="100" t="s">
        <v>2738</v>
      </c>
      <c r="M151" s="100" t="s">
        <v>1179</v>
      </c>
      <c r="N151" s="100" t="s">
        <v>2568</v>
      </c>
      <c r="O151" s="100" t="s">
        <v>2574</v>
      </c>
      <c r="P151" s="100">
        <v>50</v>
      </c>
      <c r="Q151" s="100" t="s">
        <v>2434</v>
      </c>
      <c r="R151" s="100" t="str">
        <f>IFERROR(VLOOKUP(Rencontres_N3_PN_Rx[[#This Row],[Code_JA]],tab_JA[#All],3,FALSE)&amp;" "&amp;VLOOKUP(Rencontres_N3_PN_Rx[[#This Row],[Code_JA]],tab_JA[#All],4,FALSE),"")</f>
        <v>VASSE Agnes</v>
      </c>
      <c r="S151" s="101">
        <f>IF(Rencontres_N3_PN_Rx[[#This Row],[Code_JA]]&lt;&gt;"",COUNTIF(Rencontres_N3_PN_Rx[Code_JA],Rencontres_N3_PN_Rx[[#This Row],[Code_JA]]),0)</f>
        <v>6</v>
      </c>
      <c r="T151" s="102">
        <v>0</v>
      </c>
      <c r="U151" s="103">
        <v>12</v>
      </c>
      <c r="V151" s="102">
        <f>IF(AND(Rencontres_N3_PN_Rx[[#This Row],[JA à nommer]]="oui",Rencontres_N3_PN_Rx[[#This Row],[Code_JA]]&lt;&gt;""),Rencontres_N3_PN_Rx[[#This Row],[Peages]]+(Rencontres_N3_PN_Rx[[#This Row],[KM_JA]]*0.3)+25,0)</f>
        <v>28.6</v>
      </c>
      <c r="X151" s="102">
        <f>IF(Rencontres_N3_PN_Rx[[#This Row],[defiscal]]="OUI",Rencontres_N3_PN_Rx[[#This Row],[Peages]]+(Rencontres_N3_PN_Rx[[#This Row],[KM_JA]]*0.3),0)</f>
        <v>0</v>
      </c>
    </row>
    <row r="152" spans="1:24" x14ac:dyDescent="0.25">
      <c r="A152" s="101">
        <v>151</v>
      </c>
      <c r="B152" s="100" t="s">
        <v>2541</v>
      </c>
      <c r="C152" s="104">
        <v>46032</v>
      </c>
      <c r="D152" s="100" t="s">
        <v>2542</v>
      </c>
      <c r="E152" s="106" t="s">
        <v>4129</v>
      </c>
      <c r="F152" s="100" t="s">
        <v>2543</v>
      </c>
      <c r="G152" s="100" t="s">
        <v>2566</v>
      </c>
      <c r="H152" s="100" t="s">
        <v>2581</v>
      </c>
      <c r="I152" s="100">
        <v>1</v>
      </c>
      <c r="J152" s="100">
        <v>1</v>
      </c>
      <c r="L152" s="100" t="s">
        <v>2738</v>
      </c>
      <c r="M152" s="100" t="s">
        <v>173</v>
      </c>
      <c r="N152" s="100" t="s">
        <v>2582</v>
      </c>
      <c r="O152" s="100" t="s">
        <v>2584</v>
      </c>
      <c r="P152" s="100">
        <v>50</v>
      </c>
      <c r="Q152" s="100" t="s">
        <v>2197</v>
      </c>
      <c r="R152" s="100" t="str">
        <f>IFERROR(VLOOKUP(Rencontres_N3_PN_Rx[[#This Row],[Code_JA]],tab_JA[#All],3,FALSE)&amp;" "&amp;VLOOKUP(Rencontres_N3_PN_Rx[[#This Row],[Code_JA]],tab_JA[#All],4,FALSE),"")</f>
        <v>RELET Pascal</v>
      </c>
      <c r="S152" s="101">
        <f>IF(Rencontres_N3_PN_Rx[[#This Row],[Code_JA]]&lt;&gt;"",COUNTIF(Rencontres_N3_PN_Rx[Code_JA],Rencontres_N3_PN_Rx[[#This Row],[Code_JA]]),0)</f>
        <v>9</v>
      </c>
      <c r="T152" s="102">
        <v>0</v>
      </c>
      <c r="U152" s="103">
        <v>0</v>
      </c>
      <c r="V152" s="102">
        <f>IF(AND(Rencontres_N3_PN_Rx[[#This Row],[JA à nommer]]="oui",Rencontres_N3_PN_Rx[[#This Row],[Code_JA]]&lt;&gt;""),Rencontres_N3_PN_Rx[[#This Row],[Peages]]+(Rencontres_N3_PN_Rx[[#This Row],[KM_JA]]*0.3)+25,0)</f>
        <v>25</v>
      </c>
      <c r="X152" s="102">
        <f>IF(Rencontres_N3_PN_Rx[[#This Row],[defiscal]]="OUI",Rencontres_N3_PN_Rx[[#This Row],[Peages]]+(Rencontres_N3_PN_Rx[[#This Row],[KM_JA]]*0.3),0)</f>
        <v>0</v>
      </c>
    </row>
    <row r="153" spans="1:24" x14ac:dyDescent="0.25">
      <c r="A153" s="101">
        <v>152</v>
      </c>
      <c r="B153" s="100" t="s">
        <v>2541</v>
      </c>
      <c r="C153" s="104">
        <v>46032</v>
      </c>
      <c r="D153" s="100" t="s">
        <v>2542</v>
      </c>
      <c r="E153" s="106" t="s">
        <v>4129</v>
      </c>
      <c r="F153" s="100" t="s">
        <v>2543</v>
      </c>
      <c r="G153" s="100" t="s">
        <v>2566</v>
      </c>
      <c r="H153" s="100" t="s">
        <v>2581</v>
      </c>
      <c r="I153" s="100">
        <v>1</v>
      </c>
      <c r="J153" s="100">
        <v>1</v>
      </c>
      <c r="L153" s="100" t="s">
        <v>2738</v>
      </c>
      <c r="M153" s="100" t="s">
        <v>813</v>
      </c>
      <c r="N153" s="100" t="s">
        <v>2587</v>
      </c>
      <c r="O153" s="100" t="s">
        <v>2662</v>
      </c>
      <c r="P153" s="100">
        <v>50</v>
      </c>
      <c r="Q153" s="100" t="s">
        <v>1524</v>
      </c>
      <c r="R153" s="100" t="str">
        <f>IFERROR(VLOOKUP(Rencontres_N3_PN_Rx[[#This Row],[Code_JA]],tab_JA[#All],3,FALSE)&amp;" "&amp;VLOOKUP(Rencontres_N3_PN_Rx[[#This Row],[Code_JA]],tab_JA[#All],4,FALSE),"")</f>
        <v>LEBOURG Norbert</v>
      </c>
      <c r="S153" s="101">
        <f>IF(Rencontres_N3_PN_Rx[[#This Row],[Code_JA]]&lt;&gt;"",COUNTIF(Rencontres_N3_PN_Rx[Code_JA],Rencontres_N3_PN_Rx[[#This Row],[Code_JA]]),0)</f>
        <v>2</v>
      </c>
      <c r="T153" s="102">
        <v>0</v>
      </c>
      <c r="U153" s="103">
        <v>110</v>
      </c>
      <c r="V153" s="102">
        <f>IF(AND(Rencontres_N3_PN_Rx[[#This Row],[JA à nommer]]="oui",Rencontres_N3_PN_Rx[[#This Row],[Code_JA]]&lt;&gt;""),Rencontres_N3_PN_Rx[[#This Row],[Peages]]+(Rencontres_N3_PN_Rx[[#This Row],[KM_JA]]*0.3)+25,0)</f>
        <v>58</v>
      </c>
      <c r="X153" s="102">
        <f>IF(Rencontres_N3_PN_Rx[[#This Row],[defiscal]]="OUI",Rencontres_N3_PN_Rx[[#This Row],[Peages]]+(Rencontres_N3_PN_Rx[[#This Row],[KM_JA]]*0.3),0)</f>
        <v>0</v>
      </c>
    </row>
    <row r="154" spans="1:24" x14ac:dyDescent="0.25">
      <c r="A154" s="101">
        <v>153</v>
      </c>
      <c r="B154" s="100" t="s">
        <v>2541</v>
      </c>
      <c r="C154" s="104">
        <v>46032</v>
      </c>
      <c r="D154" s="100" t="s">
        <v>2542</v>
      </c>
      <c r="E154" s="106" t="s">
        <v>4129</v>
      </c>
      <c r="F154" s="100" t="s">
        <v>2543</v>
      </c>
      <c r="G154" s="100" t="s">
        <v>2566</v>
      </c>
      <c r="H154" s="100" t="s">
        <v>2581</v>
      </c>
      <c r="I154" s="100">
        <v>2</v>
      </c>
      <c r="J154" s="100">
        <v>1</v>
      </c>
      <c r="L154" s="100" t="s">
        <v>2738</v>
      </c>
      <c r="M154" s="100" t="s">
        <v>854</v>
      </c>
      <c r="N154" s="100" t="s">
        <v>2589</v>
      </c>
      <c r="O154" s="100" t="s">
        <v>2593</v>
      </c>
      <c r="P154" s="100">
        <v>50</v>
      </c>
      <c r="Q154" s="100" t="s">
        <v>3316</v>
      </c>
      <c r="R154" s="100" t="str">
        <f>IFERROR(VLOOKUP(Rencontres_N3_PN_Rx[[#This Row],[Code_JA]],tab_JA[#All],3,FALSE)&amp;" "&amp;VLOOKUP(Rencontres_N3_PN_Rx[[#This Row],[Code_JA]],tab_JA[#All],4,FALSE),"")</f>
        <v>LEPILLIEZ Laurent</v>
      </c>
      <c r="S154" s="101">
        <f>IF(Rencontres_N3_PN_Rx[[#This Row],[Code_JA]]&lt;&gt;"",COUNTIF(Rencontres_N3_PN_Rx[Code_JA],Rencontres_N3_PN_Rx[[#This Row],[Code_JA]]),0)</f>
        <v>3</v>
      </c>
      <c r="T154" s="102">
        <v>0</v>
      </c>
      <c r="U154" s="103">
        <v>106</v>
      </c>
      <c r="V154" s="102">
        <f>IF(AND(Rencontres_N3_PN_Rx[[#This Row],[JA à nommer]]="oui",Rencontres_N3_PN_Rx[[#This Row],[Code_JA]]&lt;&gt;""),Rencontres_N3_PN_Rx[[#This Row],[Peages]]+(Rencontres_N3_PN_Rx[[#This Row],[KM_JA]]*0.3)+25,0)</f>
        <v>56.8</v>
      </c>
      <c r="X154" s="102">
        <f>IF(Rencontres_N3_PN_Rx[[#This Row],[defiscal]]="OUI",Rencontres_N3_PN_Rx[[#This Row],[Peages]]+(Rencontres_N3_PN_Rx[[#This Row],[KM_JA]]*0.3),0)</f>
        <v>0</v>
      </c>
    </row>
    <row r="155" spans="1:24" x14ac:dyDescent="0.25">
      <c r="A155" s="101">
        <v>154</v>
      </c>
      <c r="B155" s="100" t="s">
        <v>2541</v>
      </c>
      <c r="C155" s="104">
        <v>46032</v>
      </c>
      <c r="D155" s="100" t="s">
        <v>2542</v>
      </c>
      <c r="E155" s="106" t="s">
        <v>4129</v>
      </c>
      <c r="F155" s="100" t="s">
        <v>2543</v>
      </c>
      <c r="G155" s="100" t="s">
        <v>2566</v>
      </c>
      <c r="H155" s="100" t="s">
        <v>2600</v>
      </c>
      <c r="I155" s="100">
        <v>1</v>
      </c>
      <c r="J155" s="100">
        <v>1</v>
      </c>
      <c r="L155" s="100" t="s">
        <v>2738</v>
      </c>
      <c r="M155" s="100" t="s">
        <v>145</v>
      </c>
      <c r="N155" s="100" t="s">
        <v>2601</v>
      </c>
      <c r="O155" s="100" t="s">
        <v>2603</v>
      </c>
      <c r="P155" s="100">
        <v>50</v>
      </c>
      <c r="Q155" s="100" t="s">
        <v>1786</v>
      </c>
      <c r="R155" s="100" t="str">
        <f>IFERROR(VLOOKUP(Rencontres_N3_PN_Rx[[#This Row],[Code_JA]],tab_JA[#All],3,FALSE)&amp;" "&amp;VLOOKUP(Rencontres_N3_PN_Rx[[#This Row],[Code_JA]],tab_JA[#All],4,FALSE),"")</f>
        <v>LETENDRE Brigitte</v>
      </c>
      <c r="S155" s="101">
        <f>IF(Rencontres_N3_PN_Rx[[#This Row],[Code_JA]]&lt;&gt;"",COUNTIF(Rencontres_N3_PN_Rx[Code_JA],Rencontres_N3_PN_Rx[[#This Row],[Code_JA]]),0)</f>
        <v>6</v>
      </c>
      <c r="T155" s="102">
        <v>0</v>
      </c>
      <c r="U155" s="103">
        <v>54</v>
      </c>
      <c r="V155" s="102">
        <f>IF(AND(Rencontres_N3_PN_Rx[[#This Row],[JA à nommer]]="oui",Rencontres_N3_PN_Rx[[#This Row],[Code_JA]]&lt;&gt;""),Rencontres_N3_PN_Rx[[#This Row],[Peages]]+(Rencontres_N3_PN_Rx[[#This Row],[KM_JA]]*0.3)+25,0)</f>
        <v>41.2</v>
      </c>
      <c r="X155" s="102">
        <f>IF(Rencontres_N3_PN_Rx[[#This Row],[defiscal]]="OUI",Rencontres_N3_PN_Rx[[#This Row],[Peages]]+(Rencontres_N3_PN_Rx[[#This Row],[KM_JA]]*0.3),0)</f>
        <v>0</v>
      </c>
    </row>
    <row r="156" spans="1:24" x14ac:dyDescent="0.25">
      <c r="A156" s="101">
        <v>155</v>
      </c>
      <c r="B156" s="100" t="s">
        <v>2541</v>
      </c>
      <c r="C156" s="104">
        <v>46032</v>
      </c>
      <c r="D156" s="100" t="s">
        <v>2542</v>
      </c>
      <c r="E156" s="106" t="s">
        <v>4129</v>
      </c>
      <c r="F156" s="100" t="s">
        <v>2543</v>
      </c>
      <c r="G156" s="100" t="s">
        <v>2566</v>
      </c>
      <c r="H156" s="100" t="s">
        <v>2600</v>
      </c>
      <c r="I156" s="100">
        <v>1</v>
      </c>
      <c r="J156" s="100">
        <v>1</v>
      </c>
      <c r="L156" s="100" t="s">
        <v>2738</v>
      </c>
      <c r="M156" s="100" t="s">
        <v>2495</v>
      </c>
      <c r="N156" s="100" t="s">
        <v>2669</v>
      </c>
      <c r="O156" s="100" t="s">
        <v>2605</v>
      </c>
      <c r="P156" s="100">
        <v>50</v>
      </c>
      <c r="Q156" s="100" t="s">
        <v>1150</v>
      </c>
      <c r="R156" s="100" t="str">
        <f>IFERROR(VLOOKUP(Rencontres_N3_PN_Rx[[#This Row],[Code_JA]],tab_JA[#All],3,FALSE)&amp;" "&amp;VLOOKUP(Rencontres_N3_PN_Rx[[#This Row],[Code_JA]],tab_JA[#All],4,FALSE),"")</f>
        <v>GOUTTE Dominique</v>
      </c>
      <c r="S156" s="101">
        <f>IF(Rencontres_N3_PN_Rx[[#This Row],[Code_JA]]&lt;&gt;"",COUNTIF(Rencontres_N3_PN_Rx[Code_JA],Rencontres_N3_PN_Rx[[#This Row],[Code_JA]]),0)</f>
        <v>12</v>
      </c>
      <c r="T156" s="102">
        <v>0</v>
      </c>
      <c r="U156" s="103">
        <v>35</v>
      </c>
      <c r="V156" s="102">
        <f>IF(AND(Rencontres_N3_PN_Rx[[#This Row],[JA à nommer]]="oui",Rencontres_N3_PN_Rx[[#This Row],[Code_JA]]&lt;&gt;""),Rencontres_N3_PN_Rx[[#This Row],[Peages]]+(Rencontres_N3_PN_Rx[[#This Row],[KM_JA]]*0.3)+25,0)</f>
        <v>35.5</v>
      </c>
      <c r="X156" s="102">
        <f>IF(Rencontres_N3_PN_Rx[[#This Row],[defiscal]]="OUI",Rencontres_N3_PN_Rx[[#This Row],[Peages]]+(Rencontres_N3_PN_Rx[[#This Row],[KM_JA]]*0.3),0)</f>
        <v>0</v>
      </c>
    </row>
    <row r="157" spans="1:24" x14ac:dyDescent="0.25">
      <c r="A157" s="101">
        <v>156</v>
      </c>
      <c r="B157" s="100" t="s">
        <v>2541</v>
      </c>
      <c r="C157" s="104">
        <v>46032</v>
      </c>
      <c r="D157" s="100" t="s">
        <v>2542</v>
      </c>
      <c r="E157" s="106" t="s">
        <v>4128</v>
      </c>
      <c r="F157" s="100" t="s">
        <v>2543</v>
      </c>
      <c r="G157" s="100" t="s">
        <v>2566</v>
      </c>
      <c r="H157" s="100" t="s">
        <v>2600</v>
      </c>
      <c r="I157" s="100">
        <v>2</v>
      </c>
      <c r="J157" s="100">
        <v>1</v>
      </c>
      <c r="L157" s="100" t="s">
        <v>2738</v>
      </c>
      <c r="M157" s="100" t="s">
        <v>246</v>
      </c>
      <c r="N157" s="100" t="s">
        <v>2610</v>
      </c>
      <c r="O157" s="100" t="s">
        <v>2611</v>
      </c>
      <c r="P157" s="100">
        <v>50</v>
      </c>
      <c r="Q157" s="100" t="s">
        <v>3272</v>
      </c>
      <c r="R157" s="100" t="str">
        <f>IFERROR(VLOOKUP(Rencontres_N3_PN_Rx[[#This Row],[Code_JA]],tab_JA[#All],3,FALSE)&amp;" "&amp;VLOOKUP(Rencontres_N3_PN_Rx[[#This Row],[Code_JA]],tab_JA[#All],4,FALSE),"")</f>
        <v>BINARD Mathis</v>
      </c>
      <c r="S157" s="101">
        <f>IF(Rencontres_N3_PN_Rx[[#This Row],[Code_JA]]&lt;&gt;"",COUNTIF(Rencontres_N3_PN_Rx[Code_JA],Rencontres_N3_PN_Rx[[#This Row],[Code_JA]]),0)</f>
        <v>5</v>
      </c>
      <c r="T157" s="102">
        <v>0</v>
      </c>
      <c r="U157" s="103">
        <v>0</v>
      </c>
      <c r="V157" s="102">
        <f>IF(AND(Rencontres_N3_PN_Rx[[#This Row],[JA à nommer]]="oui",Rencontres_N3_PN_Rx[[#This Row],[Code_JA]]&lt;&gt;""),Rencontres_N3_PN_Rx[[#This Row],[Peages]]+(Rencontres_N3_PN_Rx[[#This Row],[KM_JA]]*0.3)+25,0)</f>
        <v>0</v>
      </c>
      <c r="X157" s="102">
        <f>IF(Rencontres_N3_PN_Rx[[#This Row],[defiscal]]="OUI",Rencontres_N3_PN_Rx[[#This Row],[Peages]]+(Rencontres_N3_PN_Rx[[#This Row],[KM_JA]]*0.3),0)</f>
        <v>0</v>
      </c>
    </row>
    <row r="158" spans="1:24" x14ac:dyDescent="0.25">
      <c r="A158" s="101">
        <v>157</v>
      </c>
      <c r="B158" s="100" t="s">
        <v>2541</v>
      </c>
      <c r="C158" s="104">
        <v>46032</v>
      </c>
      <c r="D158" s="100" t="s">
        <v>2542</v>
      </c>
      <c r="E158" s="106" t="s">
        <v>4128</v>
      </c>
      <c r="F158" s="100" t="s">
        <v>2543</v>
      </c>
      <c r="G158" s="100" t="s">
        <v>2566</v>
      </c>
      <c r="H158" s="100" t="s">
        <v>2600</v>
      </c>
      <c r="I158" s="100">
        <v>2</v>
      </c>
      <c r="J158" s="100">
        <v>1</v>
      </c>
      <c r="L158" s="100" t="s">
        <v>2738</v>
      </c>
      <c r="M158" s="100" t="s">
        <v>294</v>
      </c>
      <c r="N158" s="100" t="s">
        <v>2608</v>
      </c>
      <c r="O158" s="100" t="s">
        <v>2614</v>
      </c>
      <c r="P158" s="100">
        <v>50</v>
      </c>
      <c r="Q158" s="100" t="s">
        <v>3274</v>
      </c>
      <c r="R158" s="100" t="str">
        <f>IFERROR(VLOOKUP(Rencontres_N3_PN_Rx[[#This Row],[Code_JA]],tab_JA[#All],3,FALSE)&amp;" "&amp;VLOOKUP(Rencontres_N3_PN_Rx[[#This Row],[Code_JA]],tab_JA[#All],4,FALSE),"")</f>
        <v>CHOUBRAC Marie-Christine</v>
      </c>
      <c r="S158" s="101">
        <f>IF(Rencontres_N3_PN_Rx[[#This Row],[Code_JA]]&lt;&gt;"",COUNTIF(Rencontres_N3_PN_Rx[Code_JA],Rencontres_N3_PN_Rx[[#This Row],[Code_JA]]),0)</f>
        <v>4</v>
      </c>
      <c r="T158" s="102">
        <v>0</v>
      </c>
      <c r="U158" s="103">
        <v>0</v>
      </c>
      <c r="V158" s="102">
        <f>IF(AND(Rencontres_N3_PN_Rx[[#This Row],[JA à nommer]]="oui",Rencontres_N3_PN_Rx[[#This Row],[Code_JA]]&lt;&gt;""),Rencontres_N3_PN_Rx[[#This Row],[Peages]]+(Rencontres_N3_PN_Rx[[#This Row],[KM_JA]]*0.3)+25,0)</f>
        <v>0</v>
      </c>
      <c r="X158" s="102">
        <f>IF(Rencontres_N3_PN_Rx[[#This Row],[defiscal]]="OUI",Rencontres_N3_PN_Rx[[#This Row],[Peages]]+(Rencontres_N3_PN_Rx[[#This Row],[KM_JA]]*0.3),0)</f>
        <v>0</v>
      </c>
    </row>
    <row r="159" spans="1:24" x14ac:dyDescent="0.25">
      <c r="A159" s="101">
        <v>158</v>
      </c>
      <c r="B159" s="100" t="s">
        <v>2541</v>
      </c>
      <c r="C159" s="104">
        <v>46032</v>
      </c>
      <c r="D159" s="100" t="s">
        <v>2542</v>
      </c>
      <c r="E159" s="106" t="s">
        <v>4129</v>
      </c>
      <c r="F159" s="100" t="s">
        <v>2543</v>
      </c>
      <c r="G159" s="100" t="s">
        <v>2566</v>
      </c>
      <c r="H159" s="100" t="s">
        <v>2600</v>
      </c>
      <c r="I159" s="100">
        <v>3</v>
      </c>
      <c r="J159" s="100">
        <v>1</v>
      </c>
      <c r="L159" s="100" t="s">
        <v>2738</v>
      </c>
      <c r="M159" s="100" t="s">
        <v>173</v>
      </c>
      <c r="N159" s="100" t="s">
        <v>2615</v>
      </c>
      <c r="O159" s="100" t="s">
        <v>2617</v>
      </c>
      <c r="P159" s="100">
        <v>50</v>
      </c>
      <c r="Q159" s="100" t="s">
        <v>2197</v>
      </c>
      <c r="R159" s="100" t="str">
        <f>IFERROR(VLOOKUP(Rencontres_N3_PN_Rx[[#This Row],[Code_JA]],tab_JA[#All],3,FALSE)&amp;" "&amp;VLOOKUP(Rencontres_N3_PN_Rx[[#This Row],[Code_JA]],tab_JA[#All],4,FALSE),"")</f>
        <v>RELET Pascal</v>
      </c>
      <c r="S159" s="101">
        <f>IF(Rencontres_N3_PN_Rx[[#This Row],[Code_JA]]&lt;&gt;"",COUNTIF(Rencontres_N3_PN_Rx[Code_JA],Rencontres_N3_PN_Rx[[#This Row],[Code_JA]]),0)</f>
        <v>9</v>
      </c>
      <c r="T159" s="102">
        <v>0</v>
      </c>
      <c r="U159" s="103">
        <v>0</v>
      </c>
      <c r="V159" s="102">
        <f>IF(AND(Rencontres_N3_PN_Rx[[#This Row],[JA à nommer]]="oui",Rencontres_N3_PN_Rx[[#This Row],[Code_JA]]&lt;&gt;""),Rencontres_N3_PN_Rx[[#This Row],[Peages]]+(Rencontres_N3_PN_Rx[[#This Row],[KM_JA]]*0.3)+25,0)</f>
        <v>25</v>
      </c>
      <c r="X159" s="102">
        <f>IF(Rencontres_N3_PN_Rx[[#This Row],[defiscal]]="OUI",Rencontres_N3_PN_Rx[[#This Row],[Peages]]+(Rencontres_N3_PN_Rx[[#This Row],[KM_JA]]*0.3),0)</f>
        <v>0</v>
      </c>
    </row>
    <row r="160" spans="1:24" x14ac:dyDescent="0.25">
      <c r="A160" s="101">
        <v>159</v>
      </c>
      <c r="B160" s="100" t="s">
        <v>2541</v>
      </c>
      <c r="C160" s="104">
        <v>46032</v>
      </c>
      <c r="D160" s="100" t="s">
        <v>2542</v>
      </c>
      <c r="E160" s="106" t="s">
        <v>4128</v>
      </c>
      <c r="F160" s="100" t="s">
        <v>2543</v>
      </c>
      <c r="G160" s="100" t="s">
        <v>2566</v>
      </c>
      <c r="H160" s="100" t="s">
        <v>2600</v>
      </c>
      <c r="I160" s="100">
        <v>3</v>
      </c>
      <c r="J160" s="100">
        <v>1</v>
      </c>
      <c r="L160" s="100" t="s">
        <v>2738</v>
      </c>
      <c r="M160" s="100" t="s">
        <v>1961</v>
      </c>
      <c r="N160" s="100" t="s">
        <v>2618</v>
      </c>
      <c r="O160" s="100" t="s">
        <v>2619</v>
      </c>
      <c r="P160" s="100">
        <v>50</v>
      </c>
      <c r="Q160" s="100" t="s">
        <v>1953</v>
      </c>
      <c r="R160" s="100" t="str">
        <f>IFERROR(VLOOKUP(Rencontres_N3_PN_Rx[[#This Row],[Code_JA]],tab_JA[#All],3,FALSE)&amp;" "&amp;VLOOKUP(Rencontres_N3_PN_Rx[[#This Row],[Code_JA]],tab_JA[#All],4,FALSE),"")</f>
        <v>MARIE Jerome</v>
      </c>
      <c r="S160" s="101">
        <f>IF(Rencontres_N3_PN_Rx[[#This Row],[Code_JA]]&lt;&gt;"",COUNTIF(Rencontres_N3_PN_Rx[Code_JA],Rencontres_N3_PN_Rx[[#This Row],[Code_JA]]),0)</f>
        <v>2</v>
      </c>
      <c r="T160" s="102">
        <v>0</v>
      </c>
      <c r="U160" s="103">
        <v>0</v>
      </c>
      <c r="V160" s="102">
        <f>IF(AND(Rencontres_N3_PN_Rx[[#This Row],[JA à nommer]]="oui",Rencontres_N3_PN_Rx[[#This Row],[Code_JA]]&lt;&gt;""),Rencontres_N3_PN_Rx[[#This Row],[Peages]]+(Rencontres_N3_PN_Rx[[#This Row],[KM_JA]]*0.3)+25,0)</f>
        <v>0</v>
      </c>
      <c r="X160" s="102">
        <f>IF(Rencontres_N3_PN_Rx[[#This Row],[defiscal]]="OUI",Rencontres_N3_PN_Rx[[#This Row],[Peages]]+(Rencontres_N3_PN_Rx[[#This Row],[KM_JA]]*0.3),0)</f>
        <v>0</v>
      </c>
    </row>
    <row r="161" spans="1:24" x14ac:dyDescent="0.25">
      <c r="A161" s="101">
        <v>160</v>
      </c>
      <c r="B161" s="100" t="s">
        <v>2541</v>
      </c>
      <c r="C161" s="104">
        <v>46032</v>
      </c>
      <c r="D161" s="100" t="s">
        <v>2542</v>
      </c>
      <c r="E161" s="106" t="s">
        <v>4128</v>
      </c>
      <c r="F161" s="100" t="s">
        <v>2543</v>
      </c>
      <c r="G161" s="100" t="s">
        <v>2566</v>
      </c>
      <c r="H161" s="100" t="s">
        <v>2600</v>
      </c>
      <c r="I161" s="100">
        <v>3</v>
      </c>
      <c r="J161" s="100">
        <v>1</v>
      </c>
      <c r="L161" s="100" t="s">
        <v>2738</v>
      </c>
      <c r="M161" s="100" t="s">
        <v>1179</v>
      </c>
      <c r="N161" s="100" t="s">
        <v>2616</v>
      </c>
      <c r="O161" s="100" t="s">
        <v>2622</v>
      </c>
      <c r="P161" s="100">
        <v>50</v>
      </c>
      <c r="Q161" s="100" t="s">
        <v>2552</v>
      </c>
      <c r="R161" s="100" t="str">
        <f>IFERROR(VLOOKUP(Rencontres_N3_PN_Rx[[#This Row],[Code_JA]],tab_JA[#All],3,FALSE)&amp;" "&amp;VLOOKUP(Rencontres_N3_PN_Rx[[#This Row],[Code_JA]],tab_JA[#All],4,FALSE),"")</f>
        <v/>
      </c>
      <c r="S161" s="101">
        <f>IF(Rencontres_N3_PN_Rx[[#This Row],[Code_JA]]&lt;&gt;"",COUNTIF(Rencontres_N3_PN_Rx[Code_JA],Rencontres_N3_PN_Rx[[#This Row],[Code_JA]]),0)</f>
        <v>0</v>
      </c>
      <c r="T161" s="102">
        <v>0</v>
      </c>
      <c r="U161" s="103">
        <v>0</v>
      </c>
      <c r="V161" s="102">
        <f>IF(AND(Rencontres_N3_PN_Rx[[#This Row],[JA à nommer]]="oui",Rencontres_N3_PN_Rx[[#This Row],[Code_JA]]&lt;&gt;""),Rencontres_N3_PN_Rx[[#This Row],[Peages]]+(Rencontres_N3_PN_Rx[[#This Row],[KM_JA]]*0.3)+25,0)</f>
        <v>0</v>
      </c>
      <c r="X161" s="102">
        <f>IF(Rencontres_N3_PN_Rx[[#This Row],[defiscal]]="OUI",Rencontres_N3_PN_Rx[[#This Row],[Peages]]+(Rencontres_N3_PN_Rx[[#This Row],[KM_JA]]*0.3),0)</f>
        <v>0</v>
      </c>
    </row>
    <row r="162" spans="1:24" x14ac:dyDescent="0.25">
      <c r="A162" s="101">
        <v>161</v>
      </c>
      <c r="B162" s="100" t="s">
        <v>2541</v>
      </c>
      <c r="C162" s="104">
        <v>46032</v>
      </c>
      <c r="D162" s="100" t="s">
        <v>2542</v>
      </c>
      <c r="E162" s="106" t="s">
        <v>4129</v>
      </c>
      <c r="F162" s="100" t="s">
        <v>2543</v>
      </c>
      <c r="G162" s="100" t="s">
        <v>2566</v>
      </c>
      <c r="H162" s="100" t="s">
        <v>2600</v>
      </c>
      <c r="I162" s="100">
        <v>4</v>
      </c>
      <c r="J162" s="100">
        <v>1</v>
      </c>
      <c r="L162" s="100" t="s">
        <v>2738</v>
      </c>
      <c r="M162" s="100" t="s">
        <v>1533</v>
      </c>
      <c r="N162" s="100" t="s">
        <v>2626</v>
      </c>
      <c r="O162" s="100" t="s">
        <v>2627</v>
      </c>
      <c r="P162" s="100">
        <v>50</v>
      </c>
      <c r="Q162" s="100" t="s">
        <v>307</v>
      </c>
      <c r="R162" s="100" t="str">
        <f>IFERROR(VLOOKUP(Rencontres_N3_PN_Rx[[#This Row],[Code_JA]],tab_JA[#All],3,FALSE)&amp;" "&amp;VLOOKUP(Rencontres_N3_PN_Rx[[#This Row],[Code_JA]],tab_JA[#All],4,FALSE),"")</f>
        <v>BOUIN Pascal</v>
      </c>
      <c r="S162" s="101">
        <f>IF(Rencontres_N3_PN_Rx[[#This Row],[Code_JA]]&lt;&gt;"",COUNTIF(Rencontres_N3_PN_Rx[Code_JA],Rencontres_N3_PN_Rx[[#This Row],[Code_JA]]),0)</f>
        <v>3</v>
      </c>
      <c r="T162" s="102">
        <v>0</v>
      </c>
      <c r="U162" s="103">
        <v>98.8</v>
      </c>
      <c r="V162" s="102">
        <f>IF(AND(Rencontres_N3_PN_Rx[[#This Row],[JA à nommer]]="oui",Rencontres_N3_PN_Rx[[#This Row],[Code_JA]]&lt;&gt;""),Rencontres_N3_PN_Rx[[#This Row],[Peages]]+(Rencontres_N3_PN_Rx[[#This Row],[KM_JA]]*0.3)+25,0)</f>
        <v>54.64</v>
      </c>
      <c r="X162" s="102">
        <f>IF(Rencontres_N3_PN_Rx[[#This Row],[defiscal]]="OUI",Rencontres_N3_PN_Rx[[#This Row],[Peages]]+(Rencontres_N3_PN_Rx[[#This Row],[KM_JA]]*0.3),0)</f>
        <v>0</v>
      </c>
    </row>
    <row r="163" spans="1:24" x14ac:dyDescent="0.25">
      <c r="A163" s="101">
        <v>162</v>
      </c>
      <c r="B163" s="100" t="s">
        <v>2541</v>
      </c>
      <c r="C163" s="104">
        <v>46032</v>
      </c>
      <c r="D163" s="100" t="s">
        <v>2542</v>
      </c>
      <c r="E163" s="106" t="s">
        <v>4128</v>
      </c>
      <c r="F163" s="100" t="s">
        <v>2543</v>
      </c>
      <c r="G163" s="100" t="s">
        <v>2566</v>
      </c>
      <c r="H163" s="100" t="s">
        <v>2631</v>
      </c>
      <c r="I163" s="100">
        <v>1</v>
      </c>
      <c r="J163" s="100">
        <v>1</v>
      </c>
      <c r="L163" s="100" t="s">
        <v>2738</v>
      </c>
      <c r="M163" s="105" t="s">
        <v>1364</v>
      </c>
      <c r="N163" s="100" t="s">
        <v>2633</v>
      </c>
      <c r="O163" s="100" t="s">
        <v>2637</v>
      </c>
      <c r="P163" s="100">
        <v>50</v>
      </c>
      <c r="Q163" s="100" t="s">
        <v>3296</v>
      </c>
      <c r="R163" s="100" t="str">
        <f>IFERROR(VLOOKUP(Rencontres_N3_PN_Rx[[#This Row],[Code_JA]],tab_JA[#All],3,FALSE)&amp;" "&amp;VLOOKUP(Rencontres_N3_PN_Rx[[#This Row],[Code_JA]],tab_JA[#All],4,FALSE),"")</f>
        <v>JOUIN JEHAN Corentin</v>
      </c>
      <c r="S163" s="101">
        <f>IF(Rencontres_N3_PN_Rx[[#This Row],[Code_JA]]&lt;&gt;"",COUNTIF(Rencontres_N3_PN_Rx[Code_JA],Rencontres_N3_PN_Rx[[#This Row],[Code_JA]]),0)</f>
        <v>9</v>
      </c>
      <c r="T163" s="102">
        <v>0</v>
      </c>
      <c r="U163" s="103">
        <v>0</v>
      </c>
      <c r="V163" s="102">
        <f>IF(AND(Rencontres_N3_PN_Rx[[#This Row],[JA à nommer]]="oui",Rencontres_N3_PN_Rx[[#This Row],[Code_JA]]&lt;&gt;""),Rencontres_N3_PN_Rx[[#This Row],[Peages]]+(Rencontres_N3_PN_Rx[[#This Row],[KM_JA]]*0.3)+25,0)</f>
        <v>0</v>
      </c>
      <c r="X163" s="102">
        <f>IF(Rencontres_N3_PN_Rx[[#This Row],[defiscal]]="OUI",Rencontres_N3_PN_Rx[[#This Row],[Peages]]+(Rencontres_N3_PN_Rx[[#This Row],[KM_JA]]*0.3),0)</f>
        <v>0</v>
      </c>
    </row>
    <row r="164" spans="1:24" x14ac:dyDescent="0.25">
      <c r="A164" s="101">
        <v>163</v>
      </c>
      <c r="B164" s="100" t="s">
        <v>2541</v>
      </c>
      <c r="C164" s="104">
        <v>46032</v>
      </c>
      <c r="D164" s="100" t="s">
        <v>2542</v>
      </c>
      <c r="E164" s="106" t="s">
        <v>4128</v>
      </c>
      <c r="F164" s="100" t="s">
        <v>2543</v>
      </c>
      <c r="G164" s="100" t="s">
        <v>2566</v>
      </c>
      <c r="H164" s="100" t="s">
        <v>2631</v>
      </c>
      <c r="I164" s="100">
        <v>2</v>
      </c>
      <c r="J164" s="100">
        <v>1</v>
      </c>
      <c r="L164" s="100" t="s">
        <v>2738</v>
      </c>
      <c r="M164" s="105" t="s">
        <v>707</v>
      </c>
      <c r="N164" s="100" t="s">
        <v>2639</v>
      </c>
      <c r="O164" s="100" t="s">
        <v>2640</v>
      </c>
      <c r="P164" s="100">
        <v>50</v>
      </c>
      <c r="Q164" s="100" t="s">
        <v>2395</v>
      </c>
      <c r="R164" s="100" t="str">
        <f>IFERROR(VLOOKUP(Rencontres_N3_PN_Rx[[#This Row],[Code_JA]],tab_JA[#All],3,FALSE)&amp;" "&amp;VLOOKUP(Rencontres_N3_PN_Rx[[#This Row],[Code_JA]],tab_JA[#All],4,FALSE),"")</f>
        <v>TRAVES Annie</v>
      </c>
      <c r="S164" s="101">
        <f>IF(Rencontres_N3_PN_Rx[[#This Row],[Code_JA]]&lt;&gt;"",COUNTIF(Rencontres_N3_PN_Rx[Code_JA],Rencontres_N3_PN_Rx[[#This Row],[Code_JA]]),0)</f>
        <v>7</v>
      </c>
      <c r="T164" s="102">
        <v>0</v>
      </c>
      <c r="U164" s="103">
        <v>0</v>
      </c>
      <c r="V164" s="102">
        <f>IF(AND(Rencontres_N3_PN_Rx[[#This Row],[JA à nommer]]="oui",Rencontres_N3_PN_Rx[[#This Row],[Code_JA]]&lt;&gt;""),Rencontres_N3_PN_Rx[[#This Row],[Peages]]+(Rencontres_N3_PN_Rx[[#This Row],[KM_JA]]*0.3)+25,0)</f>
        <v>0</v>
      </c>
      <c r="X164" s="102">
        <f>IF(Rencontres_N3_PN_Rx[[#This Row],[defiscal]]="OUI",Rencontres_N3_PN_Rx[[#This Row],[Peages]]+(Rencontres_N3_PN_Rx[[#This Row],[KM_JA]]*0.3),0)</f>
        <v>0</v>
      </c>
    </row>
    <row r="165" spans="1:24" x14ac:dyDescent="0.25">
      <c r="A165" s="101">
        <v>164</v>
      </c>
      <c r="B165" s="100" t="s">
        <v>2541</v>
      </c>
      <c r="C165" s="104">
        <v>46032</v>
      </c>
      <c r="D165" s="100" t="s">
        <v>2542</v>
      </c>
      <c r="E165" s="106" t="s">
        <v>4128</v>
      </c>
      <c r="F165" s="100" t="s">
        <v>2543</v>
      </c>
      <c r="G165" s="100" t="s">
        <v>2566</v>
      </c>
      <c r="H165" s="100" t="s">
        <v>2631</v>
      </c>
      <c r="I165" s="100">
        <v>2</v>
      </c>
      <c r="J165" s="100">
        <v>1</v>
      </c>
      <c r="L165" s="100" t="s">
        <v>2738</v>
      </c>
      <c r="M165" s="100" t="s">
        <v>294</v>
      </c>
      <c r="N165" s="100" t="s">
        <v>2673</v>
      </c>
      <c r="O165" s="100" t="s">
        <v>2643</v>
      </c>
      <c r="P165" s="100">
        <v>50</v>
      </c>
      <c r="Q165" s="100" t="s">
        <v>3274</v>
      </c>
      <c r="R165" s="100" t="str">
        <f>IFERROR(VLOOKUP(Rencontres_N3_PN_Rx[[#This Row],[Code_JA]],tab_JA[#All],3,FALSE)&amp;" "&amp;VLOOKUP(Rencontres_N3_PN_Rx[[#This Row],[Code_JA]],tab_JA[#All],4,FALSE),"")</f>
        <v>CHOUBRAC Marie-Christine</v>
      </c>
      <c r="S165" s="101">
        <f>IF(Rencontres_N3_PN_Rx[[#This Row],[Code_JA]]&lt;&gt;"",COUNTIF(Rencontres_N3_PN_Rx[Code_JA],Rencontres_N3_PN_Rx[[#This Row],[Code_JA]]),0)</f>
        <v>4</v>
      </c>
      <c r="T165" s="102">
        <v>0</v>
      </c>
      <c r="U165" s="103">
        <v>0</v>
      </c>
      <c r="V165" s="102">
        <f>IF(AND(Rencontres_N3_PN_Rx[[#This Row],[JA à nommer]]="oui",Rencontres_N3_PN_Rx[[#This Row],[Code_JA]]&lt;&gt;""),Rencontres_N3_PN_Rx[[#This Row],[Peages]]+(Rencontres_N3_PN_Rx[[#This Row],[KM_JA]]*0.3)+25,0)</f>
        <v>0</v>
      </c>
      <c r="X165" s="102">
        <f>IF(Rencontres_N3_PN_Rx[[#This Row],[defiscal]]="OUI",Rencontres_N3_PN_Rx[[#This Row],[Peages]]+(Rencontres_N3_PN_Rx[[#This Row],[KM_JA]]*0.3),0)</f>
        <v>0</v>
      </c>
    </row>
    <row r="166" spans="1:24" x14ac:dyDescent="0.25">
      <c r="A166" s="101">
        <v>165</v>
      </c>
      <c r="B166" s="100" t="s">
        <v>2541</v>
      </c>
      <c r="C166" s="104">
        <v>46032</v>
      </c>
      <c r="D166" s="100" t="s">
        <v>2542</v>
      </c>
      <c r="E166" s="106" t="s">
        <v>4129</v>
      </c>
      <c r="F166" s="100" t="s">
        <v>2543</v>
      </c>
      <c r="G166" s="100" t="s">
        <v>2566</v>
      </c>
      <c r="H166" s="100" t="s">
        <v>2631</v>
      </c>
      <c r="I166" s="100">
        <v>3</v>
      </c>
      <c r="J166" s="100">
        <v>1</v>
      </c>
      <c r="L166" s="100" t="s">
        <v>2738</v>
      </c>
      <c r="M166" s="105" t="s">
        <v>1682</v>
      </c>
      <c r="N166" s="100" t="s">
        <v>2644</v>
      </c>
      <c r="O166" s="100" t="s">
        <v>2646</v>
      </c>
      <c r="P166" s="100">
        <v>50</v>
      </c>
      <c r="Q166" s="100" t="s">
        <v>1706</v>
      </c>
      <c r="R166" s="100" t="str">
        <f>IFERROR(VLOOKUP(Rencontres_N3_PN_Rx[[#This Row],[Code_JA]],tab_JA[#All],3,FALSE)&amp;" "&amp;VLOOKUP(Rencontres_N3_PN_Rx[[#This Row],[Code_JA]],tab_JA[#All],4,FALSE),"")</f>
        <v>LEMPERIERE Philippe</v>
      </c>
      <c r="S166" s="101">
        <f>IF(Rencontres_N3_PN_Rx[[#This Row],[Code_JA]]&lt;&gt;"",COUNTIF(Rencontres_N3_PN_Rx[Code_JA],Rencontres_N3_PN_Rx[[#This Row],[Code_JA]]),0)</f>
        <v>3</v>
      </c>
      <c r="T166" s="102">
        <v>0</v>
      </c>
      <c r="U166" s="103">
        <v>44</v>
      </c>
      <c r="V166" s="102">
        <f>IF(AND(Rencontres_N3_PN_Rx[[#This Row],[JA à nommer]]="oui",Rencontres_N3_PN_Rx[[#This Row],[Code_JA]]&lt;&gt;""),Rencontres_N3_PN_Rx[[#This Row],[Peages]]+(Rencontres_N3_PN_Rx[[#This Row],[KM_JA]]*0.3)+25,0)</f>
        <v>38.200000000000003</v>
      </c>
      <c r="X166" s="102">
        <f>IF(Rencontres_N3_PN_Rx[[#This Row],[defiscal]]="OUI",Rencontres_N3_PN_Rx[[#This Row],[Peages]]+(Rencontres_N3_PN_Rx[[#This Row],[KM_JA]]*0.3),0)</f>
        <v>0</v>
      </c>
    </row>
    <row r="167" spans="1:24" x14ac:dyDescent="0.25">
      <c r="A167" s="101">
        <v>166</v>
      </c>
      <c r="B167" s="100" t="s">
        <v>2541</v>
      </c>
      <c r="C167" s="104">
        <v>46032</v>
      </c>
      <c r="D167" s="100" t="s">
        <v>2542</v>
      </c>
      <c r="E167" s="106" t="s">
        <v>4129</v>
      </c>
      <c r="F167" s="100" t="s">
        <v>2543</v>
      </c>
      <c r="G167" s="100" t="s">
        <v>2566</v>
      </c>
      <c r="H167" s="100" t="s">
        <v>2631</v>
      </c>
      <c r="I167" s="100">
        <v>3</v>
      </c>
      <c r="J167" s="100">
        <v>1</v>
      </c>
      <c r="L167" s="100" t="s">
        <v>2738</v>
      </c>
      <c r="M167" s="105" t="s">
        <v>2495</v>
      </c>
      <c r="N167" s="100" t="s">
        <v>2675</v>
      </c>
      <c r="O167" s="100" t="s">
        <v>2648</v>
      </c>
      <c r="P167" s="100">
        <v>50</v>
      </c>
      <c r="Q167" s="100" t="s">
        <v>1150</v>
      </c>
      <c r="R167" s="100" t="str">
        <f>IFERROR(VLOOKUP(Rencontres_N3_PN_Rx[[#This Row],[Code_JA]],tab_JA[#All],3,FALSE)&amp;" "&amp;VLOOKUP(Rencontres_N3_PN_Rx[[#This Row],[Code_JA]],tab_JA[#All],4,FALSE),"")</f>
        <v>GOUTTE Dominique</v>
      </c>
      <c r="S167" s="101">
        <f>IF(Rencontres_N3_PN_Rx[[#This Row],[Code_JA]]&lt;&gt;"",COUNTIF(Rencontres_N3_PN_Rx[Code_JA],Rencontres_N3_PN_Rx[[#This Row],[Code_JA]]),0)</f>
        <v>12</v>
      </c>
      <c r="T167" s="102">
        <v>0</v>
      </c>
      <c r="U167" s="103">
        <v>35</v>
      </c>
      <c r="V167" s="102">
        <f>IF(AND(Rencontres_N3_PN_Rx[[#This Row],[JA à nommer]]="oui",Rencontres_N3_PN_Rx[[#This Row],[Code_JA]]&lt;&gt;""),Rencontres_N3_PN_Rx[[#This Row],[Peages]]+(Rencontres_N3_PN_Rx[[#This Row],[KM_JA]]*0.3)+25,0)</f>
        <v>35.5</v>
      </c>
      <c r="X167" s="102">
        <f>IF(Rencontres_N3_PN_Rx[[#This Row],[defiscal]]="OUI",Rencontres_N3_PN_Rx[[#This Row],[Peages]]+(Rencontres_N3_PN_Rx[[#This Row],[KM_JA]]*0.3),0)</f>
        <v>0</v>
      </c>
    </row>
    <row r="168" spans="1:24" x14ac:dyDescent="0.25">
      <c r="A168" s="101">
        <v>167</v>
      </c>
      <c r="B168" s="100" t="s">
        <v>2541</v>
      </c>
      <c r="C168" s="104">
        <v>46032</v>
      </c>
      <c r="D168" s="100" t="s">
        <v>2542</v>
      </c>
      <c r="E168" s="106" t="s">
        <v>4128</v>
      </c>
      <c r="F168" s="100" t="s">
        <v>2543</v>
      </c>
      <c r="G168" s="100" t="s">
        <v>2566</v>
      </c>
      <c r="H168" s="100" t="s">
        <v>2631</v>
      </c>
      <c r="I168" s="100">
        <v>4</v>
      </c>
      <c r="J168" s="100">
        <v>1</v>
      </c>
      <c r="L168" s="100" t="s">
        <v>2738</v>
      </c>
      <c r="M168" s="105" t="s">
        <v>478</v>
      </c>
      <c r="N168" s="100" t="s">
        <v>2655</v>
      </c>
      <c r="O168" s="100" t="s">
        <v>2656</v>
      </c>
      <c r="P168" s="100">
        <v>50</v>
      </c>
      <c r="Q168" s="100" t="s">
        <v>1794</v>
      </c>
      <c r="R168" s="100" t="str">
        <f>IFERROR(VLOOKUP(Rencontres_N3_PN_Rx[[#This Row],[Code_JA]],tab_JA[#All],3,FALSE)&amp;" "&amp;VLOOKUP(Rencontres_N3_PN_Rx[[#This Row],[Code_JA]],tab_JA[#All],4,FALSE),"")</f>
        <v>LETENDRE Dominique</v>
      </c>
      <c r="S168" s="101">
        <f>IF(Rencontres_N3_PN_Rx[[#This Row],[Code_JA]]&lt;&gt;"",COUNTIF(Rencontres_N3_PN_Rx[Code_JA],Rencontres_N3_PN_Rx[[#This Row],[Code_JA]]),0)</f>
        <v>6</v>
      </c>
      <c r="T168" s="102">
        <v>0</v>
      </c>
      <c r="U168" s="103">
        <v>0</v>
      </c>
      <c r="V168" s="102">
        <f>IF(AND(Rencontres_N3_PN_Rx[[#This Row],[JA à nommer]]="oui",Rencontres_N3_PN_Rx[[#This Row],[Code_JA]]&lt;&gt;""),Rencontres_N3_PN_Rx[[#This Row],[Peages]]+(Rencontres_N3_PN_Rx[[#This Row],[KM_JA]]*0.3)+25,0)</f>
        <v>0</v>
      </c>
      <c r="X168" s="102">
        <f>IF(Rencontres_N3_PN_Rx[[#This Row],[defiscal]]="OUI",Rencontres_N3_PN_Rx[[#This Row],[Peages]]+(Rencontres_N3_PN_Rx[[#This Row],[KM_JA]]*0.3),0)</f>
        <v>0</v>
      </c>
    </row>
    <row r="169" spans="1:24" x14ac:dyDescent="0.25">
      <c r="A169" s="101">
        <v>168</v>
      </c>
      <c r="B169" s="100" t="s">
        <v>2541</v>
      </c>
      <c r="C169" s="104">
        <v>46032</v>
      </c>
      <c r="D169" s="100" t="s">
        <v>2542</v>
      </c>
      <c r="E169" s="106" t="s">
        <v>4128</v>
      </c>
      <c r="F169" s="100" t="s">
        <v>2543</v>
      </c>
      <c r="G169" s="100" t="s">
        <v>2566</v>
      </c>
      <c r="H169" s="100" t="s">
        <v>2631</v>
      </c>
      <c r="I169" s="100">
        <v>4</v>
      </c>
      <c r="J169" s="100">
        <v>1</v>
      </c>
      <c r="L169" s="100" t="s">
        <v>2738</v>
      </c>
      <c r="M169" s="100" t="s">
        <v>854</v>
      </c>
      <c r="N169" s="100" t="s">
        <v>2651</v>
      </c>
      <c r="O169" s="100" t="s">
        <v>2657</v>
      </c>
      <c r="P169" s="100">
        <v>50</v>
      </c>
      <c r="Q169" s="100" t="s">
        <v>3281</v>
      </c>
      <c r="R169" s="100" t="str">
        <f>IFERROR(VLOOKUP(Rencontres_N3_PN_Rx[[#This Row],[Code_JA]],tab_JA[#All],3,FALSE)&amp;" "&amp;VLOOKUP(Rencontres_N3_PN_Rx[[#This Row],[Code_JA]],tab_JA[#All],4,FALSE),"")</f>
        <v>DESCHAMPS Jean-Marc</v>
      </c>
      <c r="S169" s="101">
        <f>IF(Rencontres_N3_PN_Rx[[#This Row],[Code_JA]]&lt;&gt;"",COUNTIF(Rencontres_N3_PN_Rx[Code_JA],Rencontres_N3_PN_Rx[[#This Row],[Code_JA]]),0)</f>
        <v>4</v>
      </c>
      <c r="T169" s="102">
        <v>0</v>
      </c>
      <c r="U169" s="103">
        <v>0</v>
      </c>
      <c r="V169" s="102">
        <f>IF(AND(Rencontres_N3_PN_Rx[[#This Row],[JA à nommer]]="oui",Rencontres_N3_PN_Rx[[#This Row],[Code_JA]]&lt;&gt;""),Rencontres_N3_PN_Rx[[#This Row],[Peages]]+(Rencontres_N3_PN_Rx[[#This Row],[KM_JA]]*0.3)+25,0)</f>
        <v>0</v>
      </c>
      <c r="X169" s="102">
        <f>IF(Rencontres_N3_PN_Rx[[#This Row],[defiscal]]="OUI",Rencontres_N3_PN_Rx[[#This Row],[Peages]]+(Rencontres_N3_PN_Rx[[#This Row],[KM_JA]]*0.3),0)</f>
        <v>0</v>
      </c>
    </row>
    <row r="170" spans="1:24" x14ac:dyDescent="0.25">
      <c r="A170" s="101">
        <v>169</v>
      </c>
      <c r="B170" s="100" t="s">
        <v>2541</v>
      </c>
      <c r="C170" s="104">
        <v>46032</v>
      </c>
      <c r="D170" s="100" t="s">
        <v>2542</v>
      </c>
      <c r="E170" s="106" t="s">
        <v>4129</v>
      </c>
      <c r="F170" s="100" t="s">
        <v>2544</v>
      </c>
      <c r="G170" s="100" t="s">
        <v>2544</v>
      </c>
      <c r="H170" s="100" t="s">
        <v>2545</v>
      </c>
      <c r="I170" s="100">
        <v>3</v>
      </c>
      <c r="J170" s="100">
        <v>1</v>
      </c>
      <c r="L170" s="100" t="s">
        <v>2738</v>
      </c>
      <c r="M170" s="100" t="s">
        <v>98</v>
      </c>
      <c r="N170" s="100" t="s">
        <v>2720</v>
      </c>
      <c r="O170" s="100" t="s">
        <v>2739</v>
      </c>
      <c r="P170" s="100">
        <v>50</v>
      </c>
      <c r="Q170" s="100" t="s">
        <v>831</v>
      </c>
      <c r="R170" s="100" t="str">
        <f>IFERROR(VLOOKUP(Rencontres_N3_PN_Rx[[#This Row],[Code_JA]],tab_JA[#All],3,FALSE)&amp;" "&amp;VLOOKUP(Rencontres_N3_PN_Rx[[#This Row],[Code_JA]],tab_JA[#All],4,FALSE),"")</f>
        <v>DERENNE Joël</v>
      </c>
      <c r="S170" s="101">
        <f>IF(Rencontres_N3_PN_Rx[[#This Row],[Code_JA]]&lt;&gt;"",COUNTIF(Rencontres_N3_PN_Rx[Code_JA],Rencontres_N3_PN_Rx[[#This Row],[Code_JA]]),0)</f>
        <v>2</v>
      </c>
      <c r="T170" s="102">
        <v>0</v>
      </c>
      <c r="U170" s="103">
        <v>63</v>
      </c>
      <c r="V170" s="102">
        <f>IF(AND(Rencontres_N3_PN_Rx[[#This Row],[JA à nommer]]="oui",Rencontres_N3_PN_Rx[[#This Row],[Code_JA]]&lt;&gt;""),Rencontres_N3_PN_Rx[[#This Row],[Peages]]+(Rencontres_N3_PN_Rx[[#This Row],[KM_JA]]*0.3)+25,0)</f>
        <v>43.9</v>
      </c>
      <c r="X170" s="102">
        <f>IF(Rencontres_N3_PN_Rx[[#This Row],[defiscal]]="OUI",Rencontres_N3_PN_Rx[[#This Row],[Peages]]+(Rencontres_N3_PN_Rx[[#This Row],[KM_JA]]*0.3),0)</f>
        <v>0</v>
      </c>
    </row>
    <row r="171" spans="1:24" x14ac:dyDescent="0.25">
      <c r="A171" s="101">
        <v>170</v>
      </c>
      <c r="B171" s="100" t="s">
        <v>2658</v>
      </c>
      <c r="C171" s="104">
        <v>46033</v>
      </c>
      <c r="D171" s="100" t="s">
        <v>2659</v>
      </c>
      <c r="E171" s="106" t="s">
        <v>4129</v>
      </c>
      <c r="F171" s="100" t="s">
        <v>2543</v>
      </c>
      <c r="G171" s="100" t="s">
        <v>2566</v>
      </c>
      <c r="H171" s="100" t="s">
        <v>2581</v>
      </c>
      <c r="I171" s="100">
        <v>1</v>
      </c>
      <c r="J171" s="100">
        <v>1</v>
      </c>
      <c r="L171" s="100" t="s">
        <v>2738</v>
      </c>
      <c r="M171" s="100" t="s">
        <v>45</v>
      </c>
      <c r="N171" s="100" t="s">
        <v>2585</v>
      </c>
      <c r="O171" s="100" t="s">
        <v>2586</v>
      </c>
      <c r="P171" s="100">
        <v>50</v>
      </c>
      <c r="Q171" s="100" t="s">
        <v>1341</v>
      </c>
      <c r="R171" s="100" t="str">
        <f>IFERROR(VLOOKUP(Rencontres_N3_PN_Rx[[#This Row],[Code_JA]],tab_JA[#All],3,FALSE)&amp;" "&amp;VLOOKUP(Rencontres_N3_PN_Rx[[#This Row],[Code_JA]],tab_JA[#All],4,FALSE),"")</f>
        <v>JOLITON Philippe</v>
      </c>
      <c r="S171" s="101">
        <f>IF(Rencontres_N3_PN_Rx[[#This Row],[Code_JA]]&lt;&gt;"",COUNTIF(Rencontres_N3_PN_Rx[Code_JA],Rencontres_N3_PN_Rx[[#This Row],[Code_JA]]),0)</f>
        <v>2</v>
      </c>
      <c r="T171" s="102">
        <v>0</v>
      </c>
      <c r="U171" s="103">
        <v>60</v>
      </c>
      <c r="V171" s="102">
        <f>IF(AND(Rencontres_N3_PN_Rx[[#This Row],[JA à nommer]]="oui",Rencontres_N3_PN_Rx[[#This Row],[Code_JA]]&lt;&gt;""),Rencontres_N3_PN_Rx[[#This Row],[Peages]]+(Rencontres_N3_PN_Rx[[#This Row],[KM_JA]]*0.3)+25,0)</f>
        <v>43</v>
      </c>
      <c r="X171" s="102">
        <f>IF(Rencontres_N3_PN_Rx[[#This Row],[defiscal]]="OUI",Rencontres_N3_PN_Rx[[#This Row],[Peages]]+(Rencontres_N3_PN_Rx[[#This Row],[KM_JA]]*0.3),0)</f>
        <v>0</v>
      </c>
    </row>
  </sheetData>
  <conditionalFormatting sqref="A2:O171">
    <cfRule type="expression" dxfId="18" priority="3">
      <formula>OR($H2="PN",LEFT($H2,1)="N")</formula>
    </cfRule>
    <cfRule type="expression" dxfId="17" priority="5">
      <formula>$H2="R4"</formula>
    </cfRule>
    <cfRule type="expression" dxfId="16" priority="6">
      <formula>$H2="R3"</formula>
    </cfRule>
    <cfRule type="expression" dxfId="15" priority="7">
      <formula>$H2="R2"</formula>
    </cfRule>
    <cfRule type="expression" dxfId="14" priority="9">
      <formula>$H2="R1"</formula>
    </cfRule>
  </conditionalFormatting>
  <conditionalFormatting sqref="E2:E171">
    <cfRule type="expression" dxfId="13" priority="2">
      <formula>$E2="OUI"</formula>
    </cfRule>
    <cfRule type="expression" dxfId="12" priority="4">
      <formula>$E2="NON"</formula>
    </cfRule>
  </conditionalFormatting>
  <conditionalFormatting sqref="Q2:V171">
    <cfRule type="expression" dxfId="11" priority="8">
      <formula>$E2="NON"</formula>
    </cfRule>
  </conditionalFormatting>
  <conditionalFormatting sqref="R2:S171 V2:V171">
    <cfRule type="expression" dxfId="10" priority="1">
      <formula>NOT(_xlfn.ISFORMULA(R2))</formula>
    </cfRule>
  </conditionalFormatting>
  <dataValidations count="1">
    <dataValidation type="list" allowBlank="1" showInputMessage="1" showErrorMessage="1" sqref="W2:W171" xr:uid="{F4435FAB-1018-4296-B6F7-80967421A7FE}">
      <formula1>"OUI,NON"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A8044-793D-4899-B1BD-B44FB0CE0B2A}">
  <sheetPr codeName="Feuil3"/>
  <dimension ref="A1:P400"/>
  <sheetViews>
    <sheetView topLeftCell="B10" workbookViewId="0">
      <selection activeCell="A31" sqref="A31:G37"/>
    </sheetView>
  </sheetViews>
  <sheetFormatPr baseColWidth="10" defaultRowHeight="15" x14ac:dyDescent="0.25"/>
  <cols>
    <col min="1" max="1" width="17.7109375" customWidth="1"/>
    <col min="2" max="2" width="5.28515625" customWidth="1"/>
    <col min="3" max="3" width="14.7109375" customWidth="1"/>
    <col min="4" max="4" width="18.7109375" customWidth="1"/>
    <col min="5" max="5" width="6.7109375" customWidth="1"/>
    <col min="6" max="6" width="18.7109375" customWidth="1"/>
    <col min="7" max="7" width="14.7109375" customWidth="1"/>
    <col min="8" max="8" width="8.140625" customWidth="1"/>
    <col min="9" max="9" width="11.5703125" customWidth="1"/>
    <col min="10" max="10" width="7.28515625" style="54" customWidth="1"/>
    <col min="11" max="11" width="25.140625" style="69" bestFit="1" customWidth="1"/>
    <col min="12" max="12" width="7.7109375" customWidth="1"/>
    <col min="13" max="13" width="3.140625" bestFit="1" customWidth="1"/>
    <col min="14" max="14" width="8.85546875" bestFit="1" customWidth="1"/>
    <col min="15" max="15" width="25.85546875" customWidth="1"/>
    <col min="16" max="16" width="22.5703125" customWidth="1"/>
  </cols>
  <sheetData>
    <row r="1" spans="1:16" x14ac:dyDescent="0.25">
      <c r="A1" s="51"/>
      <c r="B1" s="51"/>
      <c r="C1" s="51"/>
      <c r="D1" s="51"/>
      <c r="E1" s="51"/>
      <c r="F1" s="52" t="s">
        <v>2740</v>
      </c>
      <c r="G1" s="53">
        <v>169</v>
      </c>
      <c r="I1" t="e" cm="1">
        <f t="array" aca="1" ref="I1" ca="1">MID(CELL("nomfichier"),1,FIND("[",CELL("nomfichier"))-1)</f>
        <v>#N/A</v>
      </c>
    </row>
    <row r="2" spans="1:16" x14ac:dyDescent="0.25">
      <c r="A2" s="55" t="s">
        <v>2741</v>
      </c>
      <c r="B2" s="55"/>
      <c r="C2" s="56"/>
      <c r="D2" s="56"/>
      <c r="E2" s="56"/>
      <c r="F2" s="57"/>
      <c r="G2" s="58"/>
      <c r="H2" s="59"/>
      <c r="I2" s="60" t="s">
        <v>2742</v>
      </c>
      <c r="J2" s="60"/>
      <c r="K2" s="107"/>
    </row>
    <row r="3" spans="1:16" x14ac:dyDescent="0.25">
      <c r="A3" s="55" t="s">
        <v>2743</v>
      </c>
      <c r="B3" s="55"/>
      <c r="C3" s="56"/>
      <c r="D3" s="56"/>
      <c r="E3" s="56"/>
      <c r="F3" s="57"/>
      <c r="G3" s="58" t="e" cm="1">
        <f t="array" aca="1" ref="G3" ca="1">"Phase "&amp;MID(CELL("nomfichier"),SEARCH("PH?",CELL("nomfichier"))+2,1)</f>
        <v>#N/A</v>
      </c>
      <c r="H3" s="59"/>
      <c r="I3" t="s">
        <v>2744</v>
      </c>
      <c r="O3" t="s">
        <v>2745</v>
      </c>
      <c r="P3" t="s">
        <v>2746</v>
      </c>
    </row>
    <row r="4" spans="1:16" x14ac:dyDescent="0.25">
      <c r="A4" s="55" t="s">
        <v>2747</v>
      </c>
      <c r="B4" s="55"/>
      <c r="C4" s="56"/>
      <c r="D4" s="56"/>
      <c r="E4" s="56"/>
      <c r="F4" s="57"/>
      <c r="G4" s="61" t="s">
        <v>2748</v>
      </c>
      <c r="H4" s="59"/>
      <c r="I4" s="62" t="str">
        <f>IFERROR("J"&amp;RIGHT(C18,1)&amp;"_"&amp;C9&amp;"_"&amp;SUBSTITUTE(C19,"/","_")&amp;" vs "&amp;SUBSTITUTE(F19,"/","_")&amp;".pdf","Pas de JA saisi pour cette rencontre !")</f>
        <v>J7_DERENNE Joël_COUTANCES JA-SAINT-PAIR ENT 1 vs BETHUNE ASTT 2.pdf</v>
      </c>
      <c r="J4" s="63"/>
      <c r="K4" s="108"/>
      <c r="L4" s="62"/>
      <c r="N4" t="s">
        <v>2749</v>
      </c>
      <c r="O4" t="str">
        <f>IFERROR(LOOKUP(VLOOKUP($G$1,Rencontres_N3_PN_Rx[#Data],17,FALSE),tab_JA[Code],tab_JA[e-MAIL]),"pas de mail")</f>
        <v>jderenne@wanadoo.fr</v>
      </c>
      <c r="P4" t="str">
        <f>IFERROR(LOOKUP(VLOOKUP($G$1,Rencontres_N3_PN_Rx[#Data],13,FALSE),liste_salles[Num_club],liste_salles[mail_corr]),"pas de mail")</f>
        <v>guillard.bonnet@free.fr</v>
      </c>
    </row>
    <row r="5" spans="1:16" x14ac:dyDescent="0.25">
      <c r="A5" s="55" t="s">
        <v>2750</v>
      </c>
      <c r="B5" s="55"/>
      <c r="C5" s="56"/>
      <c r="D5" s="56"/>
      <c r="E5" s="56"/>
      <c r="F5" s="56"/>
      <c r="G5" s="56"/>
      <c r="H5" s="59"/>
      <c r="I5" t="str">
        <f>COUNTIFS(Rencontres_N3_PN_Rx[Code_JA],"????")+COUNTIFS(Rencontres_N3_PN_Rx[Code_JA],"?????")&amp;" JA affectés sur "&amp;COUNTIF(Rencontres_N3_PN_Rx[JA à nommer],"OUI")&amp;" rencontres"</f>
        <v>161 JA affectés sur 106 rencontres</v>
      </c>
      <c r="L5" s="64">
        <f>COUNTIFS(Rencontres_N3_PN_Rx[Code_JA],"????")/COUNTIF(Rencontres_N3_PN_Rx[JA à nommer],"OUI")</f>
        <v>1.4528301886792452</v>
      </c>
    </row>
    <row r="6" spans="1:16" x14ac:dyDescent="0.25">
      <c r="A6" s="55" t="s">
        <v>2751</v>
      </c>
      <c r="B6" s="55"/>
      <c r="C6" s="56"/>
      <c r="D6" s="56"/>
      <c r="E6" s="56"/>
      <c r="F6" s="56"/>
      <c r="G6" s="56"/>
      <c r="H6" s="59"/>
      <c r="I6" s="11" t="s">
        <v>18</v>
      </c>
      <c r="J6" s="65" t="s">
        <v>2752</v>
      </c>
      <c r="K6" s="66" t="s">
        <v>2753</v>
      </c>
      <c r="L6" s="11" t="s">
        <v>2754</v>
      </c>
      <c r="M6" s="11" t="s">
        <v>2755</v>
      </c>
      <c r="N6" s="11" t="s">
        <v>2756</v>
      </c>
      <c r="O6" s="11" t="s">
        <v>2757</v>
      </c>
      <c r="P6" s="11" t="s">
        <v>2758</v>
      </c>
    </row>
    <row r="7" spans="1:16" x14ac:dyDescent="0.25">
      <c r="A7" s="122" t="s">
        <v>2759</v>
      </c>
      <c r="B7" s="122"/>
      <c r="C7" s="122"/>
      <c r="D7" s="122"/>
      <c r="E7" s="122"/>
      <c r="F7" s="122"/>
      <c r="G7" s="122"/>
      <c r="H7" s="59"/>
      <c r="I7" t="str" cm="1">
        <f t="array" ref="I7:P167">_xlfn._xlws.SORT(_xlfn._xlws.FILTER(CHOOSE({1,2,3,4,5,6,7,8},Rencontres_N3_PN_Rx[Code_JA],Rencontres_N3_PN_Rx[num_rencontre],Rencontres_N3_PN_Rx[Date_rencontre],Rencontres_N3_PN_Rx[Heure],Rencontres_N3_PN_Rx[Division],Rencontres_N3_PN_Rx[jour],Rencontres_N3_PN_Rx[Equipe 1],Rencontres_N3_PN_Rx[Equipe 2]),Rencontres_N3_PN_Rx[Code_JA]&lt;&gt;"","Pas de JA affectés à une rencontre"),1,1)</f>
        <v>ADJE</v>
      </c>
      <c r="J7" s="68">
        <v>27</v>
      </c>
      <c r="K7" s="69">
        <v>45927</v>
      </c>
      <c r="L7" t="str">
        <v>16H00</v>
      </c>
      <c r="M7" t="str">
        <v>R2</v>
      </c>
      <c r="N7" t="str">
        <v>Journée 2</v>
      </c>
      <c r="O7" t="str">
        <v>CHERBOURG ASTT 1</v>
      </c>
      <c r="P7" t="str">
        <v>ST HILAIRE/PARIGNY 2</v>
      </c>
    </row>
    <row r="8" spans="1:16" x14ac:dyDescent="0.25">
      <c r="A8" s="67"/>
      <c r="B8" s="67"/>
      <c r="C8" s="67"/>
      <c r="D8" s="67"/>
      <c r="E8" s="67"/>
      <c r="F8" s="67"/>
      <c r="G8" s="67"/>
      <c r="H8" s="59"/>
      <c r="I8" t="str">
        <v>ADJE</v>
      </c>
      <c r="J8" s="68">
        <v>101</v>
      </c>
      <c r="K8" s="69">
        <v>45990</v>
      </c>
      <c r="L8" t="str">
        <v>16H00</v>
      </c>
      <c r="M8" t="str">
        <v>R2</v>
      </c>
      <c r="N8" t="str">
        <v>Journée 5</v>
      </c>
      <c r="O8" t="str">
        <v>CHERBOURG US 1</v>
      </c>
      <c r="P8" t="str">
        <v>ARGENTAN BAYARD 4</v>
      </c>
    </row>
    <row r="9" spans="1:16" x14ac:dyDescent="0.25">
      <c r="A9" s="70" t="s">
        <v>2760</v>
      </c>
      <c r="B9" s="70"/>
      <c r="C9" s="71" t="str">
        <f>IFERROR(LOOKUP(UPPER(VLOOKUP($G$1,Rencontres_N3_PN_Rx[#Data],17,FALSE)),tab_JA[Code],tab_JA[NOM])&amp;" "&amp;LOOKUP(VLOOKUP($G$1,Rencontres_N3_PN_Rx[#Data],17,FALSE),tab_JA[Code],tab_JA[PRENOM]),"pas de JA nommé")</f>
        <v>DERENNE Joël</v>
      </c>
      <c r="D9" s="71"/>
      <c r="E9" s="56"/>
      <c r="F9" s="56"/>
      <c r="G9" s="56"/>
      <c r="H9" s="59"/>
      <c r="I9" t="str">
        <v>ADJE</v>
      </c>
      <c r="J9" s="68">
        <v>106</v>
      </c>
      <c r="K9" s="69">
        <v>45990</v>
      </c>
      <c r="L9" t="str">
        <v>16H00</v>
      </c>
      <c r="M9" t="str">
        <v>R3</v>
      </c>
      <c r="N9" t="str">
        <v>Journée 5</v>
      </c>
      <c r="O9" t="str">
        <v>CHERBOURG US 2</v>
      </c>
      <c r="P9" t="str">
        <v>MORTAGNE USTT 1</v>
      </c>
    </row>
    <row r="10" spans="1:16" x14ac:dyDescent="0.25">
      <c r="A10" s="55" t="s">
        <v>2761</v>
      </c>
      <c r="B10" s="55"/>
      <c r="C10" s="71" t="str">
        <f>IFERROR(LOOKUP(VLOOKUP($G$1,Rencontres_N3_PN_Rx[#Data],17,FALSE),tab_JA[Code],tab_JA[N_licence]),"")</f>
        <v>50528</v>
      </c>
      <c r="D10" s="72"/>
      <c r="E10" s="56"/>
      <c r="F10" s="56"/>
      <c r="G10" s="57"/>
      <c r="H10" s="59"/>
      <c r="I10" t="str">
        <v>AZDI</v>
      </c>
      <c r="J10" s="68">
        <v>21</v>
      </c>
      <c r="K10" s="69">
        <v>45927</v>
      </c>
      <c r="L10" t="str">
        <v>16H00</v>
      </c>
      <c r="M10" t="str">
        <v>PN</v>
      </c>
      <c r="N10" t="str">
        <v>Journée 2</v>
      </c>
      <c r="O10" t="str">
        <v>SAINT PAIR BRICQUEVILLE TT 2</v>
      </c>
      <c r="P10" t="str">
        <v>ST GERMAIN DU CORBEIS 1</v>
      </c>
    </row>
    <row r="11" spans="1:16" x14ac:dyDescent="0.25">
      <c r="A11" s="55" t="s">
        <v>2762</v>
      </c>
      <c r="B11" s="55"/>
      <c r="C11" s="71" t="str">
        <f>IFERROR(LOOKUP(VLOOKUP($G$1,Rencontres_N3_PN_Rx[#Data],17,FALSE),tab_JA[Code],tab_JA[CLUB]),"")</f>
        <v>ISIGNY-MONTIGNY ENT P</v>
      </c>
      <c r="D11" s="73"/>
      <c r="E11" s="56"/>
      <c r="F11" s="56"/>
      <c r="G11" s="56"/>
      <c r="H11" s="59"/>
      <c r="I11" t="str">
        <v>AZDI</v>
      </c>
      <c r="J11" s="68">
        <v>28</v>
      </c>
      <c r="K11" s="69">
        <v>45927</v>
      </c>
      <c r="L11" t="str">
        <v>16H00</v>
      </c>
      <c r="M11" t="str">
        <v>R2</v>
      </c>
      <c r="N11" t="str">
        <v>Journée 2</v>
      </c>
      <c r="O11" t="str">
        <v>SAINT PAIR BRICQUEVILLE TT 4</v>
      </c>
      <c r="P11" t="str">
        <v>CAEN TTC 5</v>
      </c>
    </row>
    <row r="12" spans="1:16" x14ac:dyDescent="0.25">
      <c r="A12" s="55" t="s">
        <v>2763</v>
      </c>
      <c r="B12" s="55"/>
      <c r="C12" s="74" t="s">
        <v>2764</v>
      </c>
      <c r="D12" s="73"/>
      <c r="E12" s="56"/>
      <c r="F12" s="56"/>
      <c r="G12" s="56"/>
      <c r="H12" s="59"/>
      <c r="I12" t="str">
        <v>AZDI</v>
      </c>
      <c r="J12" s="68">
        <v>71</v>
      </c>
      <c r="K12" s="69">
        <v>45976</v>
      </c>
      <c r="L12" t="str">
        <v>16H00</v>
      </c>
      <c r="M12" t="str">
        <v>PN</v>
      </c>
      <c r="N12" t="str">
        <v>Journée 4</v>
      </c>
      <c r="O12" t="str">
        <v>SAINT PAIR BRICQUEVILLE TT 2</v>
      </c>
      <c r="P12" t="str">
        <v>OUISTREHAM AP 3</v>
      </c>
    </row>
    <row r="13" spans="1:16" x14ac:dyDescent="0.25">
      <c r="A13" s="56"/>
      <c r="B13" s="56"/>
      <c r="C13" s="56"/>
      <c r="D13" s="56"/>
      <c r="E13" s="56"/>
      <c r="F13" s="56"/>
      <c r="G13" s="56"/>
      <c r="H13" s="59"/>
      <c r="I13" t="str">
        <v>AZDI</v>
      </c>
      <c r="J13" s="68">
        <v>94</v>
      </c>
      <c r="K13" s="69">
        <v>45976</v>
      </c>
      <c r="L13" t="str">
        <v>16H00</v>
      </c>
      <c r="M13" t="str">
        <v>N2</v>
      </c>
      <c r="N13" t="str">
        <v>Journée 4</v>
      </c>
      <c r="O13" t="str">
        <v>SAINT PAIR BRICQUEVILLE 1</v>
      </c>
      <c r="P13" t="str">
        <v xml:space="preserve">BOULOGNE BILLANCOURT AC 2 </v>
      </c>
    </row>
    <row r="14" spans="1:16" x14ac:dyDescent="0.25">
      <c r="A14" s="56"/>
      <c r="B14" s="56"/>
      <c r="C14" s="75"/>
      <c r="D14" s="75"/>
      <c r="E14" s="76"/>
      <c r="F14" s="76"/>
      <c r="G14" s="56"/>
      <c r="H14" s="59"/>
      <c r="I14" t="str">
        <v>BANA</v>
      </c>
      <c r="J14" s="68">
        <v>74</v>
      </c>
      <c r="K14" s="69">
        <v>45976</v>
      </c>
      <c r="L14" t="str">
        <v>16H00</v>
      </c>
      <c r="M14" t="str">
        <v>R1</v>
      </c>
      <c r="N14" t="str">
        <v>Journée 4</v>
      </c>
      <c r="O14" t="str">
        <v>SAINT LO PL 1</v>
      </c>
      <c r="P14" t="str">
        <v>FLEURY S/O CSP 2</v>
      </c>
    </row>
    <row r="15" spans="1:16" x14ac:dyDescent="0.25">
      <c r="A15" s="77" t="s">
        <v>2765</v>
      </c>
      <c r="B15" s="77"/>
      <c r="C15" s="56"/>
      <c r="D15" s="56"/>
      <c r="E15" s="56"/>
      <c r="F15" s="56"/>
      <c r="G15" s="56"/>
      <c r="H15" s="59"/>
      <c r="I15" t="str">
        <v>BANA</v>
      </c>
      <c r="J15" s="68">
        <v>126</v>
      </c>
      <c r="K15" s="69">
        <v>46004</v>
      </c>
      <c r="L15" t="str">
        <v>16H00</v>
      </c>
      <c r="M15" t="str">
        <v>R1</v>
      </c>
      <c r="N15" t="str">
        <v>Journée 6</v>
      </c>
      <c r="O15" t="str">
        <v>SAINT LO PL 1</v>
      </c>
      <c r="P15" t="str">
        <v>ACATT 1</v>
      </c>
    </row>
    <row r="16" spans="1:16" x14ac:dyDescent="0.25">
      <c r="A16" s="78" t="s">
        <v>2766</v>
      </c>
      <c r="B16" s="78"/>
      <c r="C16" s="56"/>
      <c r="D16" s="56"/>
      <c r="E16" s="56"/>
      <c r="F16" s="56"/>
      <c r="G16" s="56"/>
      <c r="H16" s="59"/>
      <c r="I16" t="str">
        <v>BARO</v>
      </c>
      <c r="J16" s="68">
        <v>22</v>
      </c>
      <c r="K16" s="69">
        <v>45927</v>
      </c>
      <c r="L16" t="str">
        <v>16H00</v>
      </c>
      <c r="M16" t="str">
        <v>R1</v>
      </c>
      <c r="N16" t="str">
        <v>Journée 2</v>
      </c>
      <c r="O16" t="str">
        <v>COUTANCES JA 1</v>
      </c>
      <c r="P16" t="str">
        <v>FLEURY S/O CSP 1</v>
      </c>
    </row>
    <row r="17" spans="1:16" x14ac:dyDescent="0.25">
      <c r="A17" s="56"/>
      <c r="B17" s="56"/>
      <c r="C17" s="56"/>
      <c r="D17" s="56"/>
      <c r="E17" s="56"/>
      <c r="F17" s="56"/>
      <c r="G17" s="56"/>
      <c r="H17" s="59"/>
      <c r="I17" t="str">
        <v>BARO</v>
      </c>
      <c r="J17" s="68">
        <v>48</v>
      </c>
      <c r="K17" s="69">
        <v>45927</v>
      </c>
      <c r="L17" t="str">
        <v>16H00</v>
      </c>
      <c r="M17" t="str">
        <v>N2</v>
      </c>
      <c r="N17" t="str">
        <v>Journée 2</v>
      </c>
      <c r="O17" t="str">
        <v>COUTANCES JA-SAINT-PAIR ENT 1</v>
      </c>
      <c r="P17" t="str">
        <v>LILLE METROPOLE TT 1</v>
      </c>
    </row>
    <row r="18" spans="1:16" x14ac:dyDescent="0.25">
      <c r="A18" s="56" t="s">
        <v>2767</v>
      </c>
      <c r="B18" s="56"/>
      <c r="C18" s="79" t="str">
        <f>IFERROR(VLOOKUP($G$1,Rencontres_N3_PN_Rx[#Data],12,FALSE),"")</f>
        <v>Journée 7</v>
      </c>
      <c r="D18" s="80" t="s">
        <v>2768</v>
      </c>
      <c r="E18" s="79" t="str">
        <f>IFERROR(VLOOKUP($G$1,Rencontres_N3_PN_Rx[#Data],8,FALSE),"")</f>
        <v>N2</v>
      </c>
      <c r="F18" s="61" t="s">
        <v>2769</v>
      </c>
      <c r="G18" s="81">
        <f>IFERROR(VLOOKUP($G$1,Rencontres_N3_PN_Rx[#Data],9,FALSE),"")</f>
        <v>3</v>
      </c>
      <c r="H18" s="59"/>
      <c r="I18" t="str">
        <v>BARO</v>
      </c>
      <c r="J18" s="68">
        <v>54</v>
      </c>
      <c r="K18" s="69">
        <v>45941</v>
      </c>
      <c r="L18" t="str">
        <v>16H00</v>
      </c>
      <c r="M18" t="str">
        <v>R2</v>
      </c>
      <c r="N18" t="str">
        <v>Journée 3</v>
      </c>
      <c r="O18" t="str">
        <v>COUTANCES JA 2</v>
      </c>
      <c r="P18" t="str">
        <v>ARGENTAN BAYARD 4</v>
      </c>
    </row>
    <row r="19" spans="1:16" x14ac:dyDescent="0.25">
      <c r="A19" s="55" t="s">
        <v>2770</v>
      </c>
      <c r="B19" s="55"/>
      <c r="C19" s="81" t="str">
        <f>IFERROR(VLOOKUP($G$1,Rencontres_N3_PN_Rx[#Data],14,FALSE),"")</f>
        <v>COUTANCES JA-SAINT-PAIR ENT 1</v>
      </c>
      <c r="D19" s="82"/>
      <c r="E19" s="83" t="s">
        <v>2771</v>
      </c>
      <c r="F19" s="81" t="str">
        <f>IFERROR(VLOOKUP($G$1,Rencontres_N3_PN_Rx[#Data],15,FALSE),"")</f>
        <v>BETHUNE ASTT 2</v>
      </c>
      <c r="G19" s="84"/>
      <c r="H19" s="59"/>
      <c r="I19" t="str">
        <v>BARO</v>
      </c>
      <c r="J19" s="68">
        <v>98</v>
      </c>
      <c r="K19" s="69">
        <v>45990</v>
      </c>
      <c r="L19" t="str">
        <v>16H00</v>
      </c>
      <c r="M19" t="str">
        <v>R1</v>
      </c>
      <c r="N19" t="str">
        <v>Journée 5</v>
      </c>
      <c r="O19" t="str">
        <v>COUTANCES JA 1</v>
      </c>
      <c r="P19" t="str">
        <v>SAINT PAIR BRICQUEVILLE TT 3</v>
      </c>
    </row>
    <row r="20" spans="1:16" ht="18.75" x14ac:dyDescent="0.25">
      <c r="A20" s="55" t="s">
        <v>2772</v>
      </c>
      <c r="B20" s="55"/>
      <c r="C20" s="123">
        <f>IFERROR(VLOOKUP($G$1,Rencontres_N3_PN_Rx[#Data],3,FALSE),"")</f>
        <v>46032</v>
      </c>
      <c r="D20" s="123"/>
      <c r="E20" s="83" t="s">
        <v>2771</v>
      </c>
      <c r="F20" s="109" t="str">
        <f>IFERROR(VLOOKUP($G$1,Rencontres_N3_PN_Rx[#Data],4,FALSE),"")</f>
        <v>16H00</v>
      </c>
      <c r="G20" s="56"/>
      <c r="H20" s="59"/>
      <c r="I20" t="str">
        <v>BARO</v>
      </c>
      <c r="J20" s="68">
        <v>116</v>
      </c>
      <c r="K20" s="69">
        <v>45990</v>
      </c>
      <c r="L20" t="str">
        <v>16H00</v>
      </c>
      <c r="M20" t="str">
        <v>N2</v>
      </c>
      <c r="N20" t="str">
        <v>Journée 5</v>
      </c>
      <c r="O20" t="str">
        <v>COUTANCES JA-SAINT-PAIR ENT 1</v>
      </c>
      <c r="P20" t="str">
        <v>SAINT ANDRE-MARCQ ENT 1</v>
      </c>
    </row>
    <row r="21" spans="1:16" x14ac:dyDescent="0.25">
      <c r="A21" s="55" t="s">
        <v>2773</v>
      </c>
      <c r="B21" s="55"/>
      <c r="C21" s="84"/>
      <c r="D21" s="82"/>
      <c r="E21" s="56"/>
      <c r="F21" s="56"/>
      <c r="G21" s="56"/>
      <c r="H21" s="59"/>
      <c r="I21" t="str">
        <v>BECH</v>
      </c>
      <c r="J21" s="68">
        <v>37</v>
      </c>
      <c r="K21" s="69">
        <v>45927</v>
      </c>
      <c r="L21" t="str">
        <v>16H00</v>
      </c>
      <c r="M21" t="str">
        <v>R3</v>
      </c>
      <c r="N21" t="str">
        <v>Journée 2</v>
      </c>
      <c r="O21" t="str">
        <v>QUERQUEVILLE AS 1</v>
      </c>
      <c r="P21" t="str">
        <v>COUTANCES JA 3</v>
      </c>
    </row>
    <row r="22" spans="1:16" ht="29.45" customHeight="1" x14ac:dyDescent="0.25">
      <c r="A22" s="85" t="s">
        <v>2774</v>
      </c>
      <c r="B22" s="55"/>
      <c r="C22" s="124" t="str">
        <f>IFERROR(VLOOKUP(VLOOKUP($G$1,Rencontres_N3_PN_Rx[#Data],13,FALSE),tab_corres[#Data],5,FALSE),"")</f>
        <v>Hubert Savary  24, avenue Jean-Francois Millet  Gymnase College J.Prevert   50200  COUTANCES  0950299770</v>
      </c>
      <c r="D22" s="124"/>
      <c r="E22" s="124"/>
      <c r="F22" s="124"/>
      <c r="G22" s="124"/>
      <c r="H22" s="86"/>
      <c r="I22" t="str">
        <v>BECH</v>
      </c>
      <c r="J22" s="68">
        <v>41</v>
      </c>
      <c r="K22" s="69">
        <v>45927</v>
      </c>
      <c r="L22" t="str">
        <v>16H00</v>
      </c>
      <c r="M22" t="str">
        <v>R4</v>
      </c>
      <c r="N22" t="str">
        <v>Journée 2</v>
      </c>
      <c r="O22" t="str">
        <v>QUERQUEVILLE AS 2</v>
      </c>
      <c r="P22" t="str">
        <v>MONDEVILLE TT 2</v>
      </c>
    </row>
    <row r="23" spans="1:16" x14ac:dyDescent="0.25">
      <c r="A23" s="56"/>
      <c r="B23" s="56"/>
      <c r="C23" s="81"/>
      <c r="D23" s="87"/>
      <c r="E23" s="88"/>
      <c r="F23" s="56"/>
      <c r="G23" s="56"/>
      <c r="H23" s="59"/>
      <c r="I23" t="str">
        <v>BECH</v>
      </c>
      <c r="J23" s="68">
        <v>102</v>
      </c>
      <c r="K23" s="69">
        <v>45990</v>
      </c>
      <c r="L23" t="str">
        <v>16H00</v>
      </c>
      <c r="M23" t="str">
        <v>R2</v>
      </c>
      <c r="N23" t="str">
        <v>Journée 5</v>
      </c>
      <c r="O23" t="str">
        <v>CHERBOURG ASTT 1</v>
      </c>
      <c r="P23" t="str">
        <v>AS CORMELLES TT 2</v>
      </c>
    </row>
    <row r="24" spans="1:16" x14ac:dyDescent="0.25">
      <c r="A24" s="56"/>
      <c r="B24" s="56"/>
      <c r="C24" s="56"/>
      <c r="D24" s="87"/>
      <c r="E24" s="88"/>
      <c r="F24" s="80"/>
      <c r="G24" s="89"/>
      <c r="H24" s="59"/>
      <c r="I24" t="str">
        <v>BELUD</v>
      </c>
      <c r="J24" s="68">
        <v>2</v>
      </c>
      <c r="K24" s="69">
        <v>45913</v>
      </c>
      <c r="L24" t="str">
        <v>16H00</v>
      </c>
      <c r="M24" t="str">
        <v>N3</v>
      </c>
      <c r="N24" t="str">
        <v>Journée 1</v>
      </c>
      <c r="O24" t="str">
        <v>SAINT JAMES TT 1</v>
      </c>
      <c r="P24" t="str">
        <v>ANGERS LES LOUPS TT 3</v>
      </c>
    </row>
    <row r="25" spans="1:16" x14ac:dyDescent="0.25">
      <c r="A25" s="56"/>
      <c r="B25" s="56"/>
      <c r="C25" s="56"/>
      <c r="D25" s="59"/>
      <c r="E25" s="56"/>
      <c r="F25" s="56"/>
      <c r="G25" s="56"/>
      <c r="H25" s="59"/>
      <c r="I25" t="str">
        <v>BELUD</v>
      </c>
      <c r="J25" s="68">
        <v>87</v>
      </c>
      <c r="K25" s="69">
        <v>45976</v>
      </c>
      <c r="L25" t="str">
        <v>16H00</v>
      </c>
      <c r="M25" t="str">
        <v>R4</v>
      </c>
      <c r="N25" t="str">
        <v>Journée 4</v>
      </c>
      <c r="O25" t="str">
        <v>SAINT PAIR BRICQUEVILLE TT  5</v>
      </c>
      <c r="P25" t="str">
        <v>ATHIS CTT 2</v>
      </c>
    </row>
    <row r="26" spans="1:16" x14ac:dyDescent="0.25">
      <c r="A26" s="56" t="s">
        <v>2775</v>
      </c>
      <c r="B26" s="56"/>
      <c r="C26" s="56"/>
      <c r="D26" s="56"/>
      <c r="E26" s="56"/>
      <c r="F26" s="56"/>
      <c r="G26" s="56"/>
      <c r="H26" s="59"/>
      <c r="I26" t="str">
        <v>BEMO</v>
      </c>
      <c r="J26" s="68">
        <v>95</v>
      </c>
      <c r="K26" s="69">
        <v>45977</v>
      </c>
      <c r="L26" t="str">
        <v>14H00</v>
      </c>
      <c r="M26" t="str">
        <v>R1</v>
      </c>
      <c r="N26" t="str">
        <v>Journée 4</v>
      </c>
      <c r="O26" t="str">
        <v>ST PIERRE EGLISE 1</v>
      </c>
      <c r="P26" t="str">
        <v>FLERIEN TT 3</v>
      </c>
    </row>
    <row r="27" spans="1:16" x14ac:dyDescent="0.25">
      <c r="A27" s="56"/>
      <c r="B27" s="56"/>
      <c r="C27" s="79"/>
      <c r="D27" s="87"/>
      <c r="E27" s="56"/>
      <c r="F27" s="56"/>
      <c r="G27" s="56"/>
      <c r="H27" s="59"/>
      <c r="I27" t="str">
        <v>BEMO</v>
      </c>
      <c r="J27" s="68">
        <v>97</v>
      </c>
      <c r="K27" s="69">
        <v>45977</v>
      </c>
      <c r="L27" t="str">
        <v>14H00</v>
      </c>
      <c r="M27" t="str">
        <v>R4</v>
      </c>
      <c r="N27" t="str">
        <v>Journée 4</v>
      </c>
      <c r="O27" t="str">
        <v>ST PIERRE EGLIS 2</v>
      </c>
      <c r="P27" t="str">
        <v>ST ANDRE/O USSA 2</v>
      </c>
    </row>
    <row r="28" spans="1:16" x14ac:dyDescent="0.25">
      <c r="A28" s="56"/>
      <c r="B28" s="56"/>
      <c r="C28" s="81" t="str">
        <f>IFERROR(VLOOKUP(VLOOKUP($G$1,Rencontres_N3_PN_Rx[#Data],13,FALSE),tab_corres[#All],2,FALSE),"")</f>
        <v>GUILLARD Yannick</v>
      </c>
      <c r="D28" s="87"/>
      <c r="E28" s="56"/>
      <c r="F28" s="56"/>
      <c r="G28" s="56"/>
      <c r="H28" s="59"/>
      <c r="I28" t="str">
        <v>BEMO</v>
      </c>
      <c r="J28" s="68">
        <v>144</v>
      </c>
      <c r="K28" s="69">
        <v>46005</v>
      </c>
      <c r="L28" t="str">
        <v>14H00</v>
      </c>
      <c r="M28" t="str">
        <v>R1</v>
      </c>
      <c r="N28" t="str">
        <v>Journée 6</v>
      </c>
      <c r="O28" t="str">
        <v>ST PIERRE EGLISE 1</v>
      </c>
      <c r="P28" t="str">
        <v>FLEURY S/O CSP 2</v>
      </c>
    </row>
    <row r="29" spans="1:16" x14ac:dyDescent="0.25">
      <c r="A29" s="56"/>
      <c r="B29" s="56"/>
      <c r="C29" s="81"/>
      <c r="D29" s="87"/>
      <c r="E29" s="56"/>
      <c r="F29" s="56"/>
      <c r="G29" s="56"/>
      <c r="H29" s="59"/>
      <c r="I29" t="str">
        <v>BEMO</v>
      </c>
      <c r="J29" s="68">
        <v>148</v>
      </c>
      <c r="K29" s="69">
        <v>46005</v>
      </c>
      <c r="L29" t="str">
        <v>14H00</v>
      </c>
      <c r="M29" t="str">
        <v>R4</v>
      </c>
      <c r="N29" t="str">
        <v>Journée 6</v>
      </c>
      <c r="O29" t="str">
        <v>ST PIERRE EGLIS 2</v>
      </c>
      <c r="P29" t="str">
        <v xml:space="preserve"> 	LA GLACERIE US  1</v>
      </c>
    </row>
    <row r="30" spans="1:16" x14ac:dyDescent="0.25">
      <c r="A30" s="56"/>
      <c r="B30" s="56"/>
      <c r="C30" s="79"/>
      <c r="D30" s="87"/>
      <c r="E30" s="56"/>
      <c r="F30" s="80" t="s">
        <v>2776</v>
      </c>
      <c r="G30" s="81">
        <f>IFERROR(VLOOKUP(VLOOKUP($G$1,Rencontres_N3_PN_Rx[#Data],13,FALSE),tab_corres[#All],3,FALSE),"")</f>
        <v>0</v>
      </c>
      <c r="H30" s="59"/>
      <c r="I30" t="str">
        <v>BIMA</v>
      </c>
      <c r="J30" s="68">
        <v>31</v>
      </c>
      <c r="K30" s="69">
        <v>45927</v>
      </c>
      <c r="L30" t="str">
        <v>16H00</v>
      </c>
      <c r="M30" t="str">
        <v>R3</v>
      </c>
      <c r="N30" t="str">
        <v>Journée 2</v>
      </c>
      <c r="O30" t="str">
        <v>CARANTILLAISE 1</v>
      </c>
      <c r="P30" t="str">
        <v>CONDE/ SLSN 1</v>
      </c>
    </row>
    <row r="31" spans="1:16" x14ac:dyDescent="0.25">
      <c r="A31" s="56"/>
      <c r="B31" s="56"/>
      <c r="C31" s="125" t="s">
        <v>4144</v>
      </c>
      <c r="D31" s="125"/>
      <c r="E31" s="56"/>
      <c r="F31" s="56"/>
      <c r="G31" s="56"/>
      <c r="H31" s="59"/>
      <c r="I31" t="str">
        <v>BIMA</v>
      </c>
      <c r="J31" s="68">
        <v>72</v>
      </c>
      <c r="K31" s="69">
        <v>45976</v>
      </c>
      <c r="L31" t="str">
        <v>16H00</v>
      </c>
      <c r="M31" t="str">
        <v>R1</v>
      </c>
      <c r="N31" t="str">
        <v>Journée 4</v>
      </c>
      <c r="O31" t="str">
        <v>SAINT PAIR BRICQUEVILLE TT 3</v>
      </c>
      <c r="P31" t="str">
        <v>FLEURY S/O CSP 1</v>
      </c>
    </row>
    <row r="32" spans="1:16" x14ac:dyDescent="0.25">
      <c r="A32" s="77"/>
      <c r="B32" s="77"/>
      <c r="C32" s="117" t="s">
        <v>4143</v>
      </c>
      <c r="D32" s="118" t="s">
        <v>4142</v>
      </c>
      <c r="E32" s="56"/>
      <c r="F32" s="56"/>
      <c r="G32" s="56"/>
      <c r="H32" s="59"/>
      <c r="I32" t="str">
        <v>BIMA</v>
      </c>
      <c r="J32" s="68">
        <v>79</v>
      </c>
      <c r="K32" s="69">
        <v>45976</v>
      </c>
      <c r="L32" t="str">
        <v>16H00</v>
      </c>
      <c r="M32" t="str">
        <v>R2</v>
      </c>
      <c r="N32" t="str">
        <v>Journée 4</v>
      </c>
      <c r="O32" t="str">
        <v>SAINT PAIR BRICQUEVILLE TT 4</v>
      </c>
      <c r="P32" t="str">
        <v>ATHIS CTT 1</v>
      </c>
    </row>
    <row r="33" spans="1:16" x14ac:dyDescent="0.25">
      <c r="A33" s="90" t="s">
        <v>2777</v>
      </c>
      <c r="B33" s="88"/>
      <c r="C33" s="90" t="s">
        <v>2778</v>
      </c>
      <c r="D33" s="110" t="s">
        <v>2779</v>
      </c>
      <c r="E33" s="111"/>
      <c r="F33" s="112"/>
      <c r="G33" s="90" t="s">
        <v>2780</v>
      </c>
      <c r="H33" s="59"/>
      <c r="I33" t="str">
        <v>BIMA</v>
      </c>
      <c r="J33" s="68">
        <v>104</v>
      </c>
      <c r="K33" s="69">
        <v>45990</v>
      </c>
      <c r="L33" t="str">
        <v>16H00</v>
      </c>
      <c r="M33" t="str">
        <v>R3</v>
      </c>
      <c r="N33" t="str">
        <v>Journée 5</v>
      </c>
      <c r="O33" t="str">
        <v>CARANTILLAISE 1</v>
      </c>
      <c r="P33" t="str">
        <v>TORIGNAISE ESTT 1</v>
      </c>
    </row>
    <row r="34" spans="1:16" x14ac:dyDescent="0.25">
      <c r="A34" s="91">
        <v>25</v>
      </c>
      <c r="B34" s="79" t="s">
        <v>2781</v>
      </c>
      <c r="C34" s="115"/>
      <c r="D34" s="116"/>
      <c r="E34" s="92" t="s">
        <v>2782</v>
      </c>
      <c r="F34" s="93" t="s">
        <v>2783</v>
      </c>
      <c r="G34" s="94"/>
      <c r="H34" s="59"/>
      <c r="I34" t="str">
        <v>BIMA</v>
      </c>
      <c r="J34" s="68">
        <v>156</v>
      </c>
      <c r="K34" s="69">
        <v>46032</v>
      </c>
      <c r="L34" t="str">
        <v>16H00</v>
      </c>
      <c r="M34" t="str">
        <v>R3</v>
      </c>
      <c r="N34" t="str">
        <v>Journée 7</v>
      </c>
      <c r="O34" t="str">
        <v>CARANTILLAISE 1</v>
      </c>
      <c r="P34" t="str">
        <v>ALENCON ETOILE 4</v>
      </c>
    </row>
    <row r="35" spans="1:16" x14ac:dyDescent="0.25">
      <c r="B35" s="56"/>
      <c r="E35" s="56"/>
      <c r="F35" s="56"/>
      <c r="G35" s="56"/>
      <c r="H35" s="59"/>
      <c r="I35" t="str">
        <v>BONA</v>
      </c>
      <c r="J35" s="68">
        <v>33</v>
      </c>
      <c r="K35" s="69">
        <v>45927</v>
      </c>
      <c r="L35" t="str">
        <v>16H00</v>
      </c>
      <c r="M35" t="str">
        <v>R3</v>
      </c>
      <c r="N35" t="str">
        <v>Journée 2</v>
      </c>
      <c r="O35" t="str">
        <v>EQUEURDREVILLE 2</v>
      </c>
      <c r="P35" t="str">
        <v>ST ANDRE/ORNE USSA 1</v>
      </c>
    </row>
    <row r="36" spans="1:16" x14ac:dyDescent="0.25">
      <c r="B36" s="56"/>
      <c r="E36" s="56"/>
      <c r="F36" s="82" t="s">
        <v>2785</v>
      </c>
      <c r="G36" s="82"/>
      <c r="H36" s="59"/>
      <c r="I36" t="str">
        <v>BONA</v>
      </c>
      <c r="J36" s="68">
        <v>42</v>
      </c>
      <c r="K36" s="69">
        <v>45927</v>
      </c>
      <c r="L36" t="str">
        <v>16H00</v>
      </c>
      <c r="M36" t="str">
        <v>R4</v>
      </c>
      <c r="N36" t="str">
        <v>Journée 2</v>
      </c>
      <c r="O36" t="str">
        <v>EQUEURDREVILLE 3</v>
      </c>
      <c r="P36" t="str">
        <v>ST PIERRE DU RE 1</v>
      </c>
    </row>
    <row r="37" spans="1:16" x14ac:dyDescent="0.25">
      <c r="A37" s="56" t="s">
        <v>2784</v>
      </c>
      <c r="B37" s="56"/>
      <c r="C37" s="56"/>
      <c r="D37" s="56"/>
      <c r="E37" s="56"/>
      <c r="F37" s="82" t="s">
        <v>2786</v>
      </c>
      <c r="G37" s="82"/>
      <c r="H37" s="59"/>
      <c r="I37" t="str">
        <v>BONA</v>
      </c>
      <c r="J37" s="68">
        <v>105</v>
      </c>
      <c r="K37" s="69">
        <v>45990</v>
      </c>
      <c r="L37" t="str">
        <v>16H00</v>
      </c>
      <c r="M37" t="str">
        <v>R3</v>
      </c>
      <c r="N37" t="str">
        <v>Journée 5</v>
      </c>
      <c r="O37" t="str">
        <v>EQUEURDREVILLE 2</v>
      </c>
      <c r="P37" t="str">
        <v>ACATT 2</v>
      </c>
    </row>
    <row r="38" spans="1:16" x14ac:dyDescent="0.25">
      <c r="A38" s="56"/>
      <c r="B38" s="56"/>
      <c r="C38" s="56"/>
      <c r="D38" s="56"/>
      <c r="E38" s="56"/>
      <c r="F38" s="56"/>
      <c r="G38" s="56"/>
      <c r="H38" s="59"/>
      <c r="I38" t="str">
        <v>BONA</v>
      </c>
      <c r="J38" s="68">
        <v>113</v>
      </c>
      <c r="K38" s="69">
        <v>45990</v>
      </c>
      <c r="L38" t="str">
        <v>16H00</v>
      </c>
      <c r="M38" t="str">
        <v>R4</v>
      </c>
      <c r="N38" t="str">
        <v>Journée 5</v>
      </c>
      <c r="O38" t="str">
        <v>EQUEURDREVILLE 3</v>
      </c>
      <c r="P38" t="str">
        <v xml:space="preserve">LA FERTE FRENEL SPOTT 1 </v>
      </c>
    </row>
    <row r="39" spans="1:16" x14ac:dyDescent="0.25">
      <c r="A39" s="56"/>
      <c r="B39" s="56"/>
      <c r="C39" s="56"/>
      <c r="D39" s="56"/>
      <c r="E39" s="56"/>
      <c r="F39" s="56"/>
      <c r="G39" s="56"/>
      <c r="H39" s="59"/>
      <c r="I39" t="str">
        <v>BOPA</v>
      </c>
      <c r="J39" s="68">
        <v>25</v>
      </c>
      <c r="K39" s="69">
        <v>45927</v>
      </c>
      <c r="L39" t="str">
        <v>16H00</v>
      </c>
      <c r="M39" t="str">
        <v>R1</v>
      </c>
      <c r="N39" t="str">
        <v>Journée 2</v>
      </c>
      <c r="O39" t="str">
        <v>SAINT LO PL 1</v>
      </c>
      <c r="P39" t="str">
        <v>ST PIERRE EGLISE 1</v>
      </c>
    </row>
    <row r="40" spans="1:16" ht="15.75" thickBot="1" x14ac:dyDescent="0.3">
      <c r="A40" s="56"/>
      <c r="B40" s="56"/>
      <c r="C40" s="56"/>
      <c r="D40" s="56"/>
      <c r="E40" s="56"/>
      <c r="F40" s="56"/>
      <c r="G40" s="56"/>
      <c r="H40" s="59"/>
      <c r="I40" t="str">
        <v>BOPA</v>
      </c>
      <c r="J40" s="68">
        <v>76</v>
      </c>
      <c r="K40" s="69">
        <v>45976</v>
      </c>
      <c r="L40" t="str">
        <v>16H00</v>
      </c>
      <c r="M40" t="str">
        <v>R2</v>
      </c>
      <c r="N40" t="str">
        <v>Journée 4</v>
      </c>
      <c r="O40" t="str">
        <v>COUTANCES JA 2</v>
      </c>
      <c r="P40" t="str">
        <v>LISIEUX ASTT 1</v>
      </c>
    </row>
    <row r="41" spans="1:16" ht="15.75" thickTop="1" x14ac:dyDescent="0.25">
      <c r="A41" s="95"/>
      <c r="B41" s="95"/>
      <c r="C41" s="95"/>
      <c r="D41" s="95"/>
      <c r="E41" s="95"/>
      <c r="F41" s="95"/>
      <c r="G41" s="95"/>
      <c r="H41" s="59"/>
      <c r="I41" t="str">
        <v>BOPA</v>
      </c>
      <c r="J41" s="68">
        <v>161</v>
      </c>
      <c r="K41" s="69">
        <v>46032</v>
      </c>
      <c r="L41" t="str">
        <v>16H00</v>
      </c>
      <c r="M41" t="str">
        <v>R3</v>
      </c>
      <c r="N41" t="str">
        <v>Journée 7</v>
      </c>
      <c r="O41" t="str">
        <v>DONVILLE USM 1</v>
      </c>
      <c r="P41" t="str">
        <v>COUTANCES JA 3</v>
      </c>
    </row>
    <row r="42" spans="1:16" x14ac:dyDescent="0.25">
      <c r="A42" s="96" t="s">
        <v>2787</v>
      </c>
      <c r="B42" s="96"/>
      <c r="C42" s="56"/>
      <c r="D42" s="56"/>
      <c r="E42" s="56"/>
      <c r="F42" s="56"/>
      <c r="G42" s="56"/>
      <c r="H42" s="59"/>
      <c r="I42" t="str">
        <v>CAWI</v>
      </c>
      <c r="J42" s="68">
        <v>69</v>
      </c>
      <c r="K42" s="69">
        <v>45942</v>
      </c>
      <c r="L42" t="str">
        <v>14H00</v>
      </c>
      <c r="M42" t="str">
        <v>R4</v>
      </c>
      <c r="N42" t="str">
        <v>Journée 3</v>
      </c>
      <c r="O42" t="str">
        <v>SAINT JAMES TT 4</v>
      </c>
      <c r="P42" t="str">
        <v>SAINT PAIR BRICQUEVILLE TT  5</v>
      </c>
    </row>
    <row r="43" spans="1:16" x14ac:dyDescent="0.25">
      <c r="A43" s="96" t="s">
        <v>2788</v>
      </c>
      <c r="B43" s="77"/>
      <c r="C43" s="56"/>
      <c r="D43" s="56"/>
      <c r="E43" s="56"/>
      <c r="F43" s="56"/>
      <c r="G43" s="56"/>
      <c r="H43" s="59"/>
      <c r="I43" t="str">
        <v>CHMC</v>
      </c>
      <c r="J43" s="68">
        <v>57</v>
      </c>
      <c r="K43" s="69">
        <v>45941</v>
      </c>
      <c r="L43" t="str">
        <v>16H00</v>
      </c>
      <c r="M43" t="str">
        <v>R3</v>
      </c>
      <c r="N43" t="str">
        <v>Journée 3</v>
      </c>
      <c r="O43" t="str">
        <v>EQUEURDREVILLE 2</v>
      </c>
      <c r="P43" t="str">
        <v>CARANTILLAISE 1</v>
      </c>
    </row>
    <row r="44" spans="1:16" x14ac:dyDescent="0.25">
      <c r="A44" s="59" t="s">
        <v>2789</v>
      </c>
      <c r="B44" s="59"/>
      <c r="C44" s="59"/>
      <c r="D44" s="59"/>
      <c r="E44" s="59"/>
      <c r="F44" s="59"/>
      <c r="G44" s="59"/>
      <c r="H44" s="59"/>
      <c r="I44" t="str">
        <v>CHMC</v>
      </c>
      <c r="J44" s="68">
        <v>63</v>
      </c>
      <c r="K44" s="69">
        <v>45941</v>
      </c>
      <c r="L44" t="str">
        <v>16H00</v>
      </c>
      <c r="M44" t="str">
        <v>R4</v>
      </c>
      <c r="N44" t="str">
        <v>Journée 3</v>
      </c>
      <c r="O44" t="str">
        <v>EQUEURDREVILLE 3</v>
      </c>
      <c r="P44" t="str">
        <v>MONTEBOURG SAEL 1</v>
      </c>
    </row>
    <row r="45" spans="1:16" x14ac:dyDescent="0.25">
      <c r="A45" s="59"/>
      <c r="B45" s="59"/>
      <c r="C45" s="59"/>
      <c r="D45" s="59"/>
      <c r="E45" s="59"/>
      <c r="F45" s="59"/>
      <c r="G45" s="59"/>
      <c r="H45" s="59"/>
      <c r="I45" t="str">
        <v>CHMC</v>
      </c>
      <c r="J45" s="68">
        <v>157</v>
      </c>
      <c r="K45" s="69">
        <v>46032</v>
      </c>
      <c r="L45" t="str">
        <v>16H00</v>
      </c>
      <c r="M45" t="str">
        <v>R3</v>
      </c>
      <c r="N45" t="str">
        <v>Journée 7</v>
      </c>
      <c r="O45" t="str">
        <v>EQUEURDREVILLE 2</v>
      </c>
      <c r="P45" t="str">
        <v>TORIGNAISE ESTT 1</v>
      </c>
    </row>
    <row r="46" spans="1:16" x14ac:dyDescent="0.25">
      <c r="I46" t="str">
        <v>CHMC</v>
      </c>
      <c r="J46" s="68">
        <v>164</v>
      </c>
      <c r="K46" s="69">
        <v>46032</v>
      </c>
      <c r="L46" t="str">
        <v>16H00</v>
      </c>
      <c r="M46" t="str">
        <v>R4</v>
      </c>
      <c r="N46" t="str">
        <v>Journée 7</v>
      </c>
      <c r="O46" t="str">
        <v>EQUEURDREVILLE 3</v>
      </c>
      <c r="P46" t="str">
        <v>QUERQUEVILLE AS 2</v>
      </c>
    </row>
    <row r="47" spans="1:16" x14ac:dyDescent="0.25">
      <c r="I47" t="str">
        <v>DEER</v>
      </c>
      <c r="J47" s="68">
        <v>89</v>
      </c>
      <c r="K47" s="69">
        <v>45976</v>
      </c>
      <c r="L47" t="str">
        <v>16H00</v>
      </c>
      <c r="M47" t="str">
        <v>R4</v>
      </c>
      <c r="N47" t="str">
        <v>Journée 4</v>
      </c>
      <c r="O47" t="str">
        <v>CARENTANAIS CL 1</v>
      </c>
      <c r="P47" t="str">
        <v xml:space="preserve"> 	LA GLACERIE US  1</v>
      </c>
    </row>
    <row r="48" spans="1:16" x14ac:dyDescent="0.25">
      <c r="I48" t="str">
        <v>DEJM</v>
      </c>
      <c r="J48" s="68">
        <v>47</v>
      </c>
      <c r="K48" s="69">
        <v>45927</v>
      </c>
      <c r="L48" t="str">
        <v>16H00</v>
      </c>
      <c r="M48" t="str">
        <v>R4</v>
      </c>
      <c r="N48" t="str">
        <v>Journée 2</v>
      </c>
      <c r="O48" t="str">
        <v>CHERBOURG ASTT 2</v>
      </c>
      <c r="P48" t="str">
        <v>BRICQUEBEC UC  1</v>
      </c>
    </row>
    <row r="49" spans="9:16" x14ac:dyDescent="0.25">
      <c r="I49" t="str">
        <v>DEJM</v>
      </c>
      <c r="J49" s="68">
        <v>65</v>
      </c>
      <c r="K49" s="69">
        <v>45941</v>
      </c>
      <c r="L49" t="str">
        <v>16H00</v>
      </c>
      <c r="M49" t="str">
        <v>R4</v>
      </c>
      <c r="N49" t="str">
        <v>Journée 3</v>
      </c>
      <c r="O49" t="str">
        <v>CHERBOURG ASTT 2</v>
      </c>
      <c r="P49" t="str">
        <v xml:space="preserve">LA FERTE MACE ALTT 1 </v>
      </c>
    </row>
    <row r="50" spans="9:16" x14ac:dyDescent="0.25">
      <c r="I50" t="str">
        <v>DEJM</v>
      </c>
      <c r="J50" s="68">
        <v>115</v>
      </c>
      <c r="K50" s="69">
        <v>45990</v>
      </c>
      <c r="L50" t="str">
        <v>16H00</v>
      </c>
      <c r="M50" t="str">
        <v>R4</v>
      </c>
      <c r="N50" t="str">
        <v>Journée 5</v>
      </c>
      <c r="O50" t="str">
        <v>CHERBOURG ASTT 2</v>
      </c>
      <c r="P50" t="str">
        <v>SAINT JAMES TT 5</v>
      </c>
    </row>
    <row r="51" spans="9:16" x14ac:dyDescent="0.25">
      <c r="I51" t="str">
        <v>DEJM</v>
      </c>
      <c r="J51" s="68">
        <v>168</v>
      </c>
      <c r="K51" s="69">
        <v>46032</v>
      </c>
      <c r="L51" t="str">
        <v>16H00</v>
      </c>
      <c r="M51" t="str">
        <v>R4</v>
      </c>
      <c r="N51" t="str">
        <v>Journée 7</v>
      </c>
      <c r="O51" t="str">
        <v>CHERBOURG ASTT 2</v>
      </c>
      <c r="P51" t="str">
        <v>CHERBOURG US  3</v>
      </c>
    </row>
    <row r="52" spans="9:16" x14ac:dyDescent="0.25">
      <c r="I52" t="str">
        <v>DEJO</v>
      </c>
      <c r="J52" s="68">
        <v>149</v>
      </c>
      <c r="K52" s="69">
        <v>46032</v>
      </c>
      <c r="L52" t="str">
        <v>16H00</v>
      </c>
      <c r="M52" t="str">
        <v>R1</v>
      </c>
      <c r="N52" t="str">
        <v>Journée 7</v>
      </c>
      <c r="O52" t="str">
        <v>COUTANCES JA 1</v>
      </c>
      <c r="P52" t="str">
        <v>ALENCON ETOILE 2</v>
      </c>
    </row>
    <row r="53" spans="9:16" x14ac:dyDescent="0.25">
      <c r="I53" t="str">
        <v>DEJO</v>
      </c>
      <c r="J53" s="68">
        <v>169</v>
      </c>
      <c r="K53" s="69">
        <v>46032</v>
      </c>
      <c r="L53" t="str">
        <v>16H00</v>
      </c>
      <c r="M53" t="str">
        <v>N2</v>
      </c>
      <c r="N53" t="str">
        <v>Journée 7</v>
      </c>
      <c r="O53" t="str">
        <v>COUTANCES JA-SAINT-PAIR ENT 1</v>
      </c>
      <c r="P53" t="str">
        <v>BETHUNE ASTT 2</v>
      </c>
    </row>
    <row r="54" spans="9:16" x14ac:dyDescent="0.25">
      <c r="I54" t="str">
        <v>DEST</v>
      </c>
      <c r="J54" s="68">
        <v>14</v>
      </c>
      <c r="K54" s="69">
        <v>45920</v>
      </c>
      <c r="L54" t="str">
        <v>16H00</v>
      </c>
      <c r="M54" t="str">
        <v>R4</v>
      </c>
      <c r="N54" t="str">
        <v>Journée 1</v>
      </c>
      <c r="O54" t="str">
        <v>MORTAIN ENT 2</v>
      </c>
      <c r="P54" t="str">
        <v>MONTEBOURG SAEL 1</v>
      </c>
    </row>
    <row r="55" spans="9:16" x14ac:dyDescent="0.25">
      <c r="I55" t="str">
        <v>DEST</v>
      </c>
      <c r="J55" s="68">
        <v>62</v>
      </c>
      <c r="K55" s="69">
        <v>45941</v>
      </c>
      <c r="L55" t="str">
        <v>16H00</v>
      </c>
      <c r="M55" t="str">
        <v>R4</v>
      </c>
      <c r="N55" t="str">
        <v>Journée 3</v>
      </c>
      <c r="O55" t="str">
        <v>MORTAIN ENT 2</v>
      </c>
      <c r="P55" t="str">
        <v>QUERQUEVILLE AS 2</v>
      </c>
    </row>
    <row r="56" spans="9:16" x14ac:dyDescent="0.25">
      <c r="I56" t="str">
        <v>DEST</v>
      </c>
      <c r="J56" s="68">
        <v>111</v>
      </c>
      <c r="K56" s="69">
        <v>45990</v>
      </c>
      <c r="L56" t="str">
        <v>16H00</v>
      </c>
      <c r="M56" t="str">
        <v>R4</v>
      </c>
      <c r="N56" t="str">
        <v>Journée 5</v>
      </c>
      <c r="O56" t="str">
        <v>MORTAIN ENT 2</v>
      </c>
      <c r="P56" t="str">
        <v>MONDEVILLE TT 2</v>
      </c>
    </row>
    <row r="57" spans="9:16" x14ac:dyDescent="0.25">
      <c r="I57" t="str">
        <v>GODO</v>
      </c>
      <c r="J57" s="68">
        <v>26</v>
      </c>
      <c r="K57" s="69">
        <v>45927</v>
      </c>
      <c r="L57" t="str">
        <v>16H00</v>
      </c>
      <c r="M57" t="str">
        <v>R2</v>
      </c>
      <c r="N57" t="str">
        <v>Journée 2</v>
      </c>
      <c r="O57" t="str">
        <v>MORTAIN ENT 1</v>
      </c>
      <c r="P57" t="str">
        <v>CAENNAISE AG 3</v>
      </c>
    </row>
    <row r="58" spans="9:16" x14ac:dyDescent="0.25">
      <c r="I58" t="str">
        <v>GODO</v>
      </c>
      <c r="J58" s="68">
        <v>52</v>
      </c>
      <c r="K58" s="69">
        <v>45941</v>
      </c>
      <c r="L58" t="str">
        <v>16H00</v>
      </c>
      <c r="M58" t="str">
        <v>R1</v>
      </c>
      <c r="N58" t="str">
        <v>Journée 3</v>
      </c>
      <c r="O58" t="str">
        <v>SAINT JAMES TT 2</v>
      </c>
      <c r="P58" t="str">
        <v>SAINT LO PL 1</v>
      </c>
    </row>
    <row r="59" spans="9:16" x14ac:dyDescent="0.25">
      <c r="I59" t="str">
        <v>GODO</v>
      </c>
      <c r="J59" s="68">
        <v>66</v>
      </c>
      <c r="K59" s="69">
        <v>45941</v>
      </c>
      <c r="L59" t="str">
        <v>16H00</v>
      </c>
      <c r="M59" t="str">
        <v>N3</v>
      </c>
      <c r="N59" t="str">
        <v>Journée 3</v>
      </c>
      <c r="O59" t="str">
        <v>SAINT JAMES TT 1</v>
      </c>
      <c r="P59" t="str">
        <v>FUTURO VALVERT TT 1</v>
      </c>
    </row>
    <row r="60" spans="9:16" x14ac:dyDescent="0.25">
      <c r="I60" t="str">
        <v>GODO</v>
      </c>
      <c r="J60" s="68">
        <v>75</v>
      </c>
      <c r="K60" s="69">
        <v>45976</v>
      </c>
      <c r="L60" t="str">
        <v>16H00</v>
      </c>
      <c r="M60" t="str">
        <v>R1</v>
      </c>
      <c r="N60" t="str">
        <v>Journée 4</v>
      </c>
      <c r="O60" t="str">
        <v>ST HILAIRE/PARIGNY 1</v>
      </c>
      <c r="P60" t="str">
        <v>SAINT JAMES TT 2</v>
      </c>
    </row>
    <row r="61" spans="9:16" x14ac:dyDescent="0.25">
      <c r="I61" t="str">
        <v>GODO</v>
      </c>
      <c r="J61" s="68">
        <v>78</v>
      </c>
      <c r="K61" s="69">
        <v>45976</v>
      </c>
      <c r="L61" t="str">
        <v>16H00</v>
      </c>
      <c r="M61" t="str">
        <v>R2</v>
      </c>
      <c r="N61" t="str">
        <v>Journée 4</v>
      </c>
      <c r="O61" t="str">
        <v>ST HILAIRE/PARIGNY 2</v>
      </c>
      <c r="P61" t="str">
        <v>CAENNAISE AG 2</v>
      </c>
    </row>
    <row r="62" spans="9:16" x14ac:dyDescent="0.25">
      <c r="I62" t="str">
        <v>GODO</v>
      </c>
      <c r="J62" s="68">
        <v>100</v>
      </c>
      <c r="K62" s="69">
        <v>45990</v>
      </c>
      <c r="L62" t="str">
        <v>16H00</v>
      </c>
      <c r="M62" t="str">
        <v>R1</v>
      </c>
      <c r="N62" t="str">
        <v>Journée 5</v>
      </c>
      <c r="O62" t="str">
        <v>SAINT JAMES TT 2</v>
      </c>
      <c r="P62" t="str">
        <v>ST PIERRE EGLISE 1</v>
      </c>
    </row>
    <row r="63" spans="9:16" x14ac:dyDescent="0.25">
      <c r="I63" t="str">
        <v>GODO</v>
      </c>
      <c r="J63" s="68">
        <v>117</v>
      </c>
      <c r="K63" s="69">
        <v>45990</v>
      </c>
      <c r="L63" t="str">
        <v>16H00</v>
      </c>
      <c r="M63" t="str">
        <v>N3</v>
      </c>
      <c r="N63" t="str">
        <v>Journée 5</v>
      </c>
      <c r="O63" t="str">
        <v>SAINT JAMES TT 1</v>
      </c>
      <c r="P63" t="str">
        <v>LOGNES EP 2</v>
      </c>
    </row>
    <row r="64" spans="9:16" x14ac:dyDescent="0.25">
      <c r="I64" t="str">
        <v>GODO</v>
      </c>
      <c r="J64" s="68">
        <v>119</v>
      </c>
      <c r="K64" s="69">
        <v>45991</v>
      </c>
      <c r="L64" t="str">
        <v>14H00</v>
      </c>
      <c r="M64" t="str">
        <v>R2</v>
      </c>
      <c r="N64" t="str">
        <v>Journée 5</v>
      </c>
      <c r="O64" t="str">
        <v>SAINT JAMES TT 3</v>
      </c>
      <c r="P64" t="str">
        <v>CAEN TTC 5</v>
      </c>
    </row>
    <row r="65" spans="9:16" x14ac:dyDescent="0.25">
      <c r="I65" t="str">
        <v>GODO</v>
      </c>
      <c r="J65" s="68">
        <v>124</v>
      </c>
      <c r="K65" s="69">
        <v>46004</v>
      </c>
      <c r="L65" t="str">
        <v>16H00</v>
      </c>
      <c r="M65" t="str">
        <v>R1</v>
      </c>
      <c r="N65" t="str">
        <v>Journée 6</v>
      </c>
      <c r="O65" t="str">
        <v>SAINT JAMES TT 2</v>
      </c>
      <c r="P65" t="str">
        <v>FLERIEN TT 3</v>
      </c>
    </row>
    <row r="66" spans="9:16" x14ac:dyDescent="0.25">
      <c r="I66" t="str">
        <v>GODO</v>
      </c>
      <c r="J66" s="68">
        <v>143</v>
      </c>
      <c r="K66" s="69">
        <v>46004</v>
      </c>
      <c r="L66" t="str">
        <v>16H00</v>
      </c>
      <c r="M66" t="str">
        <v>N3</v>
      </c>
      <c r="N66" t="str">
        <v>Journée 6</v>
      </c>
      <c r="O66" t="str">
        <v>SAINT JAMES TT 1</v>
      </c>
      <c r="P66" t="str">
        <v>PANA LOISIRS 1</v>
      </c>
    </row>
    <row r="67" spans="9:16" x14ac:dyDescent="0.25">
      <c r="I67" t="str">
        <v>GODO</v>
      </c>
      <c r="J67" s="68">
        <v>155</v>
      </c>
      <c r="K67" s="69">
        <v>46032</v>
      </c>
      <c r="L67" t="str">
        <v>16H00</v>
      </c>
      <c r="M67" t="str">
        <v>R3</v>
      </c>
      <c r="N67" t="str">
        <v>Journée 7</v>
      </c>
      <c r="O67" t="str">
        <v>ATT DUCEY AVRANCHES 1</v>
      </c>
      <c r="P67" t="str">
        <v>FRENOUVILLE TT 1</v>
      </c>
    </row>
    <row r="68" spans="9:16" x14ac:dyDescent="0.25">
      <c r="I68" t="str">
        <v>GODO</v>
      </c>
      <c r="J68" s="68">
        <v>166</v>
      </c>
      <c r="K68" s="69">
        <v>46032</v>
      </c>
      <c r="L68" t="str">
        <v>16H00</v>
      </c>
      <c r="M68" t="str">
        <v>R4</v>
      </c>
      <c r="N68" t="str">
        <v>Journée 7</v>
      </c>
      <c r="O68" t="str">
        <v>ATT DUCEY AVRANCHES 2</v>
      </c>
      <c r="P68" t="str">
        <v xml:space="preserve"> FLERS TT 5</v>
      </c>
    </row>
    <row r="69" spans="9:16" x14ac:dyDescent="0.25">
      <c r="I69" t="str">
        <v>GUKE</v>
      </c>
      <c r="J69" s="68">
        <v>32</v>
      </c>
      <c r="K69" s="69">
        <v>45927</v>
      </c>
      <c r="L69" t="str">
        <v>16H00</v>
      </c>
      <c r="M69" t="str">
        <v>R3</v>
      </c>
      <c r="N69" t="str">
        <v>Journée 2</v>
      </c>
      <c r="O69" t="str">
        <v>TORIGNAISE ESTT 1</v>
      </c>
      <c r="P69" t="str">
        <v>ALENCON ETOILE 4</v>
      </c>
    </row>
    <row r="70" spans="9:16" x14ac:dyDescent="0.25">
      <c r="I70" t="str">
        <v>GUKE</v>
      </c>
      <c r="J70" s="68">
        <v>83</v>
      </c>
      <c r="K70" s="69">
        <v>45976</v>
      </c>
      <c r="L70" t="str">
        <v>16H00</v>
      </c>
      <c r="M70" t="str">
        <v>R3</v>
      </c>
      <c r="N70" t="str">
        <v>Journée 4</v>
      </c>
      <c r="O70" t="str">
        <v>TORIGNAISE ESTT 1</v>
      </c>
      <c r="P70" t="str">
        <v>CONDE/ SLSN 1</v>
      </c>
    </row>
    <row r="71" spans="9:16" x14ac:dyDescent="0.25">
      <c r="I71" t="str">
        <v>GUYA</v>
      </c>
      <c r="J71" s="68">
        <v>60</v>
      </c>
      <c r="K71" s="69">
        <v>45941</v>
      </c>
      <c r="L71" t="str">
        <v>16H00</v>
      </c>
      <c r="M71" t="str">
        <v>R3</v>
      </c>
      <c r="N71" t="str">
        <v>Journée 3</v>
      </c>
      <c r="O71" t="str">
        <v>COUTANCES JA 3</v>
      </c>
      <c r="P71" t="str">
        <v>ASSUN TT 2</v>
      </c>
    </row>
    <row r="72" spans="9:16" x14ac:dyDescent="0.25">
      <c r="I72" t="str">
        <v>GUYA</v>
      </c>
      <c r="J72" s="68">
        <v>86</v>
      </c>
      <c r="K72" s="69">
        <v>45976</v>
      </c>
      <c r="L72" t="str">
        <v>16H00</v>
      </c>
      <c r="M72" t="str">
        <v>R3</v>
      </c>
      <c r="N72" t="str">
        <v>Journée 4</v>
      </c>
      <c r="O72" t="str">
        <v>COUTANCES JA 3</v>
      </c>
      <c r="P72" t="str">
        <v>BAYEUX TT 2</v>
      </c>
    </row>
    <row r="73" spans="9:16" x14ac:dyDescent="0.25">
      <c r="I73" t="str">
        <v>GUYA</v>
      </c>
      <c r="J73" s="68">
        <v>133</v>
      </c>
      <c r="K73" s="69">
        <v>46004</v>
      </c>
      <c r="L73" t="str">
        <v>16H00</v>
      </c>
      <c r="M73" t="str">
        <v>R3</v>
      </c>
      <c r="N73" t="str">
        <v>Journée 6</v>
      </c>
      <c r="O73" t="str">
        <v>COUTANCES JA 3</v>
      </c>
      <c r="P73" t="str">
        <v>TROARN TT 1</v>
      </c>
    </row>
    <row r="74" spans="9:16" x14ac:dyDescent="0.25">
      <c r="I74" t="str">
        <v>HEDA</v>
      </c>
      <c r="J74" s="68">
        <v>36</v>
      </c>
      <c r="K74" s="69">
        <v>45927</v>
      </c>
      <c r="L74" t="str">
        <v>16H00</v>
      </c>
      <c r="M74" t="str">
        <v>R3</v>
      </c>
      <c r="N74" t="str">
        <v>Journée 2</v>
      </c>
      <c r="O74" t="str">
        <v>DONVILLE USM 1</v>
      </c>
      <c r="P74" t="str">
        <v>TROARN TT 1</v>
      </c>
    </row>
    <row r="75" spans="9:16" x14ac:dyDescent="0.25">
      <c r="I75" t="str">
        <v>HUEM</v>
      </c>
      <c r="J75" s="68">
        <v>24</v>
      </c>
      <c r="K75" s="69">
        <v>45927</v>
      </c>
      <c r="L75" t="str">
        <v>16H00</v>
      </c>
      <c r="M75" t="str">
        <v>R1</v>
      </c>
      <c r="N75" t="str">
        <v>Journée 2</v>
      </c>
      <c r="O75" t="str">
        <v>OC AGNEAUX  1</v>
      </c>
      <c r="P75" t="str">
        <v>EQUEURDREVILLE 1</v>
      </c>
    </row>
    <row r="76" spans="9:16" x14ac:dyDescent="0.25">
      <c r="I76" t="str">
        <v>JOCO</v>
      </c>
      <c r="J76" s="68">
        <v>4</v>
      </c>
      <c r="K76" s="69">
        <v>45920</v>
      </c>
      <c r="L76" t="str">
        <v>16H00</v>
      </c>
      <c r="M76" t="str">
        <v>R1</v>
      </c>
      <c r="N76" t="str">
        <v>Journée 1</v>
      </c>
      <c r="O76" t="str">
        <v>SAINT JAMES TT 2</v>
      </c>
      <c r="P76" t="str">
        <v>CAEN TTC 4</v>
      </c>
    </row>
    <row r="77" spans="9:16" x14ac:dyDescent="0.25">
      <c r="I77" t="str">
        <v>JOCO</v>
      </c>
      <c r="J77" s="68">
        <v>39</v>
      </c>
      <c r="K77" s="69">
        <v>45927</v>
      </c>
      <c r="L77" t="str">
        <v>16H00</v>
      </c>
      <c r="M77" t="str">
        <v>R4</v>
      </c>
      <c r="N77" t="str">
        <v>Journée 2</v>
      </c>
      <c r="O77" t="str">
        <v>ST HILAIRE/PARIGNY 3</v>
      </c>
      <c r="P77" t="str">
        <v>FLERIEN TT 4</v>
      </c>
    </row>
    <row r="78" spans="9:16" x14ac:dyDescent="0.25">
      <c r="I78" t="str">
        <v>JOCO</v>
      </c>
      <c r="J78" s="68">
        <v>61</v>
      </c>
      <c r="K78" s="69">
        <v>45941</v>
      </c>
      <c r="L78" t="str">
        <v>16H00</v>
      </c>
      <c r="M78" t="str">
        <v>R4</v>
      </c>
      <c r="N78" t="str">
        <v>Journée 3</v>
      </c>
      <c r="O78" t="str">
        <v>ST HILAIRE/PARIGNY 3</v>
      </c>
      <c r="P78" t="str">
        <v>LISIEUX ASTT 2</v>
      </c>
    </row>
    <row r="79" spans="9:16" x14ac:dyDescent="0.25">
      <c r="I79" t="str">
        <v>JOCO</v>
      </c>
      <c r="J79" s="68">
        <v>82</v>
      </c>
      <c r="K79" s="69">
        <v>45976</v>
      </c>
      <c r="L79" t="str">
        <v>16H00</v>
      </c>
      <c r="M79" t="str">
        <v>R3</v>
      </c>
      <c r="N79" t="str">
        <v>Journée 4</v>
      </c>
      <c r="O79" t="str">
        <v>ATT DUCEY AVRANCHES 1</v>
      </c>
      <c r="P79" t="str">
        <v>CABOURG TT 2</v>
      </c>
    </row>
    <row r="80" spans="9:16" x14ac:dyDescent="0.25">
      <c r="I80" t="str">
        <v>JOCO</v>
      </c>
      <c r="J80" s="68">
        <v>90</v>
      </c>
      <c r="K80" s="69">
        <v>45976</v>
      </c>
      <c r="L80" t="str">
        <v>16H00</v>
      </c>
      <c r="M80" t="str">
        <v>R4</v>
      </c>
      <c r="N80" t="str">
        <v>Journée 4</v>
      </c>
      <c r="O80" t="str">
        <v>ATT DUCEY AVRANCHES 2</v>
      </c>
      <c r="P80" t="str">
        <v>ST GERMAIN DU CORBEIS 3</v>
      </c>
    </row>
    <row r="81" spans="9:16" x14ac:dyDescent="0.25">
      <c r="I81" t="str">
        <v>JOCO</v>
      </c>
      <c r="J81" s="68">
        <v>110</v>
      </c>
      <c r="K81" s="69">
        <v>45990</v>
      </c>
      <c r="L81" t="str">
        <v>16H00</v>
      </c>
      <c r="M81" t="str">
        <v>R4</v>
      </c>
      <c r="N81" t="str">
        <v>Journée 5</v>
      </c>
      <c r="O81" t="str">
        <v>ST HILAIRE/PARIGNY 3</v>
      </c>
      <c r="P81" t="str">
        <v xml:space="preserve"> AG DEAUVILLE /PONT L EVEQUE 1</v>
      </c>
    </row>
    <row r="82" spans="9:16" x14ac:dyDescent="0.25">
      <c r="I82" t="str">
        <v>JOCO</v>
      </c>
      <c r="J82" s="68">
        <v>123</v>
      </c>
      <c r="K82" s="69">
        <v>46004</v>
      </c>
      <c r="L82" t="str">
        <v>16H00</v>
      </c>
      <c r="M82" t="str">
        <v>R1</v>
      </c>
      <c r="N82" t="str">
        <v>Journée 6</v>
      </c>
      <c r="O82" t="str">
        <v>SAINT PAIR BRICQUEVILLE TT 3</v>
      </c>
      <c r="P82" t="str">
        <v>AS CORMELLES TT 1</v>
      </c>
    </row>
    <row r="83" spans="9:16" x14ac:dyDescent="0.25">
      <c r="I83" t="str">
        <v>JOCO</v>
      </c>
      <c r="J83" s="68">
        <v>130</v>
      </c>
      <c r="K83" s="69">
        <v>46004</v>
      </c>
      <c r="L83" t="str">
        <v>16H00</v>
      </c>
      <c r="M83" t="str">
        <v>R2</v>
      </c>
      <c r="N83" t="str">
        <v>Journée 6</v>
      </c>
      <c r="O83" t="str">
        <v>SAINT PAIR BRICQUEVILLE TT 4</v>
      </c>
      <c r="P83" t="str">
        <v>FALAISE ES (1)</v>
      </c>
    </row>
    <row r="84" spans="9:16" x14ac:dyDescent="0.25">
      <c r="I84" t="str">
        <v>JOCO</v>
      </c>
      <c r="J84" s="68">
        <v>162</v>
      </c>
      <c r="K84" s="69">
        <v>46032</v>
      </c>
      <c r="L84" t="str">
        <v>16H00</v>
      </c>
      <c r="M84" t="str">
        <v>R4</v>
      </c>
      <c r="N84" t="str">
        <v>Journée 7</v>
      </c>
      <c r="O84" t="str">
        <v>ST HILAIRE/PARIGNY 3</v>
      </c>
      <c r="P84" t="str">
        <v>SAINT PAIR BRICQUEVILLE TT  5</v>
      </c>
    </row>
    <row r="85" spans="9:16" x14ac:dyDescent="0.25">
      <c r="I85" t="str">
        <v>JOJE</v>
      </c>
      <c r="J85" s="68">
        <v>5</v>
      </c>
      <c r="K85" s="69">
        <v>45920</v>
      </c>
      <c r="L85" t="str">
        <v>16H00</v>
      </c>
      <c r="M85" t="str">
        <v>R1</v>
      </c>
      <c r="N85" t="str">
        <v>Journée 1</v>
      </c>
      <c r="O85" t="str">
        <v>ST HILAIRE/PARIGNY 1</v>
      </c>
      <c r="P85" t="str">
        <v>SAINT LO PL 1</v>
      </c>
    </row>
    <row r="86" spans="9:16" x14ac:dyDescent="0.25">
      <c r="I86" t="str">
        <v>JOJE</v>
      </c>
      <c r="J86" s="68">
        <v>8</v>
      </c>
      <c r="K86" s="69">
        <v>45920</v>
      </c>
      <c r="L86" t="str">
        <v>16H00</v>
      </c>
      <c r="M86" t="str">
        <v>R2</v>
      </c>
      <c r="N86" t="str">
        <v>Journée 1</v>
      </c>
      <c r="O86" t="str">
        <v>ST HILAIRE/PARIGNY 2</v>
      </c>
      <c r="P86" t="str">
        <v>ST JEAN CHAMPS 1</v>
      </c>
    </row>
    <row r="87" spans="9:16" x14ac:dyDescent="0.25">
      <c r="I87" t="str">
        <v>JOJE</v>
      </c>
      <c r="J87" s="68">
        <v>96</v>
      </c>
      <c r="K87" s="69">
        <v>45977</v>
      </c>
      <c r="L87" t="str">
        <v>14H00</v>
      </c>
      <c r="M87" t="str">
        <v>R2</v>
      </c>
      <c r="N87" t="str">
        <v>Journée 4</v>
      </c>
      <c r="O87" t="str">
        <v>ST JEAN CHAMPS 1</v>
      </c>
      <c r="P87" t="str">
        <v>OUISTREHAM AP 4</v>
      </c>
    </row>
    <row r="88" spans="9:16" x14ac:dyDescent="0.25">
      <c r="I88" t="str">
        <v>JOJE</v>
      </c>
      <c r="J88" s="68">
        <v>121</v>
      </c>
      <c r="K88" s="69">
        <v>46004</v>
      </c>
      <c r="L88" t="str">
        <v>16H00</v>
      </c>
      <c r="M88" t="str">
        <v>PN</v>
      </c>
      <c r="N88" t="str">
        <v>Journée 6</v>
      </c>
      <c r="O88" t="str">
        <v>SAINT PAIR BRICQUEVILLE TT 2</v>
      </c>
      <c r="P88" t="str">
        <v>SPO ROUEN 4</v>
      </c>
    </row>
    <row r="89" spans="9:16" x14ac:dyDescent="0.25">
      <c r="I89" t="str">
        <v>JOJE</v>
      </c>
      <c r="J89" s="68">
        <v>142</v>
      </c>
      <c r="K89" s="69">
        <v>46004</v>
      </c>
      <c r="L89" t="str">
        <v>16H00</v>
      </c>
      <c r="M89" t="str">
        <v>N2</v>
      </c>
      <c r="N89" t="str">
        <v>Journée 6</v>
      </c>
      <c r="O89" t="str">
        <v>SAINT PAIR BRICQUEVILLE 1</v>
      </c>
      <c r="P89" t="str">
        <v xml:space="preserve">VILLERS LES NANCY COS 1 </v>
      </c>
    </row>
    <row r="90" spans="9:16" x14ac:dyDescent="0.25">
      <c r="I90" t="str">
        <v>JOJE</v>
      </c>
      <c r="J90" s="68">
        <v>146</v>
      </c>
      <c r="K90" s="69">
        <v>46005</v>
      </c>
      <c r="L90" t="str">
        <v>14H00</v>
      </c>
      <c r="M90" t="str">
        <v>R2</v>
      </c>
      <c r="N90" t="str">
        <v>Journée 6</v>
      </c>
      <c r="O90" t="str">
        <v>SAINT JAMES TT 3</v>
      </c>
      <c r="P90" t="str">
        <v>BAYEUX TT 1</v>
      </c>
    </row>
    <row r="91" spans="9:16" x14ac:dyDescent="0.25">
      <c r="I91" t="str">
        <v>JOPH</v>
      </c>
      <c r="J91" s="68">
        <v>118</v>
      </c>
      <c r="K91" s="69">
        <v>45991</v>
      </c>
      <c r="L91" t="str">
        <v>14H00</v>
      </c>
      <c r="M91" t="str">
        <v>R2</v>
      </c>
      <c r="N91" t="str">
        <v>Journée 5</v>
      </c>
      <c r="O91" t="str">
        <v>LES PIEUX TT 1</v>
      </c>
      <c r="P91" t="str">
        <v>OUISTREHAM AP 5</v>
      </c>
    </row>
    <row r="92" spans="9:16" x14ac:dyDescent="0.25">
      <c r="I92" t="str">
        <v>JOPH</v>
      </c>
      <c r="J92" s="68">
        <v>170</v>
      </c>
      <c r="K92" s="69">
        <v>46033</v>
      </c>
      <c r="L92" t="str">
        <v>14H00</v>
      </c>
      <c r="M92" t="str">
        <v>R2</v>
      </c>
      <c r="N92" t="str">
        <v>Journée 7</v>
      </c>
      <c r="O92" t="str">
        <v>LES PIEUX TT 1</v>
      </c>
      <c r="P92" t="str">
        <v>COUTANCES JA 2</v>
      </c>
    </row>
    <row r="93" spans="9:16" x14ac:dyDescent="0.25">
      <c r="I93" t="str">
        <v>LAFR</v>
      </c>
      <c r="J93" s="68">
        <v>35</v>
      </c>
      <c r="K93" s="69">
        <v>45927</v>
      </c>
      <c r="L93" t="str">
        <v>16H00</v>
      </c>
      <c r="M93" t="str">
        <v>R3</v>
      </c>
      <c r="N93" t="str">
        <v>Journée 2</v>
      </c>
      <c r="O93" t="str">
        <v>OC AGNEAUX  2</v>
      </c>
      <c r="P93" t="str">
        <v>MORTAGNE USTT 1</v>
      </c>
    </row>
    <row r="94" spans="9:16" x14ac:dyDescent="0.25">
      <c r="I94" t="str">
        <v>LAFR</v>
      </c>
      <c r="J94" s="68">
        <v>108</v>
      </c>
      <c r="K94" s="69">
        <v>45990</v>
      </c>
      <c r="L94" t="str">
        <v>16H00</v>
      </c>
      <c r="M94" t="str">
        <v>R3</v>
      </c>
      <c r="N94" t="str">
        <v>Journée 5</v>
      </c>
      <c r="O94" t="str">
        <v>OC AGNEAUX  2</v>
      </c>
      <c r="P94" t="str">
        <v>VIROISE USM 1</v>
      </c>
    </row>
    <row r="95" spans="9:16" x14ac:dyDescent="0.25">
      <c r="I95" t="str">
        <v>LEBR</v>
      </c>
      <c r="J95" s="68">
        <v>93</v>
      </c>
      <c r="K95" s="69">
        <v>45955</v>
      </c>
      <c r="L95" t="str">
        <v>16H00</v>
      </c>
      <c r="M95" t="str">
        <v>R4</v>
      </c>
      <c r="N95" t="str">
        <v>Journée 4</v>
      </c>
      <c r="O95" t="str">
        <v>SAINT JAMES TT 5</v>
      </c>
      <c r="P95" t="str">
        <v xml:space="preserve">LA FERTE MACE ALTT 1 </v>
      </c>
    </row>
    <row r="96" spans="9:16" x14ac:dyDescent="0.25">
      <c r="I96" t="str">
        <v>LEBR</v>
      </c>
      <c r="J96" s="68">
        <v>103</v>
      </c>
      <c r="K96" s="69">
        <v>45990</v>
      </c>
      <c r="L96" t="str">
        <v>16H00</v>
      </c>
      <c r="M96" t="str">
        <v>R3</v>
      </c>
      <c r="N96" t="str">
        <v>Journée 5</v>
      </c>
      <c r="O96" t="str">
        <v>ISIGNY-MONTIGNY 1</v>
      </c>
      <c r="P96" t="str">
        <v>FRENOUVILLE TT 1</v>
      </c>
    </row>
    <row r="97" spans="9:16" x14ac:dyDescent="0.25">
      <c r="I97" t="str">
        <v>LEBR</v>
      </c>
      <c r="J97" s="68">
        <v>120</v>
      </c>
      <c r="K97" s="69">
        <v>45991</v>
      </c>
      <c r="L97" t="str">
        <v>14H00</v>
      </c>
      <c r="M97" t="str">
        <v>R4</v>
      </c>
      <c r="N97" t="str">
        <v>Journée 5</v>
      </c>
      <c r="O97" t="str">
        <v>SAINT JAMES TT 4</v>
      </c>
      <c r="P97" t="str">
        <v>VILLERS BOCAGE  2</v>
      </c>
    </row>
    <row r="98" spans="9:16" x14ac:dyDescent="0.25">
      <c r="I98" t="str">
        <v>LEBR</v>
      </c>
      <c r="J98" s="68">
        <v>125</v>
      </c>
      <c r="K98" s="69">
        <v>46004</v>
      </c>
      <c r="L98" t="str">
        <v>16H00</v>
      </c>
      <c r="M98" t="str">
        <v>R1</v>
      </c>
      <c r="N98" t="str">
        <v>Journée 6</v>
      </c>
      <c r="O98" t="str">
        <v>ST HILAIRE/PARIGNY 1</v>
      </c>
      <c r="P98" t="str">
        <v>CAEN TTC 4</v>
      </c>
    </row>
    <row r="99" spans="9:16" x14ac:dyDescent="0.25">
      <c r="I99" t="str">
        <v>LEBR</v>
      </c>
      <c r="J99" s="68">
        <v>128</v>
      </c>
      <c r="K99" s="69">
        <v>46004</v>
      </c>
      <c r="L99" t="str">
        <v>16H00</v>
      </c>
      <c r="M99" t="str">
        <v>R2</v>
      </c>
      <c r="N99" t="str">
        <v>Journée 6</v>
      </c>
      <c r="O99" t="str">
        <v>ST HILAIRE/PARIGNY 2</v>
      </c>
      <c r="P99" t="str">
        <v>PSJ TINCHEBRAY 1</v>
      </c>
    </row>
    <row r="100" spans="9:16" x14ac:dyDescent="0.25">
      <c r="I100" t="str">
        <v>LEBR</v>
      </c>
      <c r="J100" s="68">
        <v>154</v>
      </c>
      <c r="K100" s="69">
        <v>46032</v>
      </c>
      <c r="L100" t="str">
        <v>16H00</v>
      </c>
      <c r="M100" t="str">
        <v>R3</v>
      </c>
      <c r="N100" t="str">
        <v>Journée 7</v>
      </c>
      <c r="O100" t="str">
        <v>ISIGNY-MONTIGNY 1</v>
      </c>
      <c r="P100" t="str">
        <v>C HONFLEURAISTT 2</v>
      </c>
    </row>
    <row r="101" spans="9:16" x14ac:dyDescent="0.25">
      <c r="I101" t="str">
        <v>LEDO</v>
      </c>
      <c r="J101" s="68">
        <v>45</v>
      </c>
      <c r="K101" s="69">
        <v>45927</v>
      </c>
      <c r="L101" t="str">
        <v>16H00</v>
      </c>
      <c r="M101" t="str">
        <v>R4</v>
      </c>
      <c r="N101" t="str">
        <v>Journée 2</v>
      </c>
      <c r="O101" t="str">
        <v>SAINT JAMES TT 5</v>
      </c>
      <c r="P101" t="str">
        <v>AS CORMELLES TT 4</v>
      </c>
    </row>
    <row r="102" spans="9:16" x14ac:dyDescent="0.25">
      <c r="I102" t="str">
        <v>LEDO</v>
      </c>
      <c r="J102" s="68">
        <v>50</v>
      </c>
      <c r="K102" s="69">
        <v>45928</v>
      </c>
      <c r="L102" t="str">
        <v>14H00</v>
      </c>
      <c r="M102" t="str">
        <v>R2</v>
      </c>
      <c r="N102" t="str">
        <v>Journée 2</v>
      </c>
      <c r="O102" t="str">
        <v>ST JEAN CHAMPS 1</v>
      </c>
      <c r="P102" t="str">
        <v>ARGENTAN BAYARD 3</v>
      </c>
    </row>
    <row r="103" spans="9:16" x14ac:dyDescent="0.25">
      <c r="I103" t="str">
        <v>LEDO</v>
      </c>
      <c r="J103" s="68">
        <v>56</v>
      </c>
      <c r="K103" s="69">
        <v>45941</v>
      </c>
      <c r="L103" t="str">
        <v>16H00</v>
      </c>
      <c r="M103" t="str">
        <v>R3</v>
      </c>
      <c r="N103" t="str">
        <v>Journée 3</v>
      </c>
      <c r="O103" t="str">
        <v>ISIGNY-MONTIGNY 1</v>
      </c>
      <c r="P103" t="str">
        <v>ATT DUCEY AVRANCHES 1</v>
      </c>
    </row>
    <row r="104" spans="9:16" x14ac:dyDescent="0.25">
      <c r="I104" t="str">
        <v>LEDO</v>
      </c>
      <c r="J104" s="68">
        <v>77</v>
      </c>
      <c r="K104" s="69">
        <v>45976</v>
      </c>
      <c r="L104" t="str">
        <v>15H00</v>
      </c>
      <c r="M104" t="str">
        <v>R2</v>
      </c>
      <c r="N104" t="str">
        <v>Journée 4</v>
      </c>
      <c r="O104" t="str">
        <v>MORTAIN ENT 1</v>
      </c>
      <c r="P104" t="str">
        <v>LES PIEUX TT 1</v>
      </c>
    </row>
    <row r="105" spans="9:16" x14ac:dyDescent="0.25">
      <c r="I105" t="str">
        <v>LEDO</v>
      </c>
      <c r="J105" s="68">
        <v>145</v>
      </c>
      <c r="K105" s="69">
        <v>46005</v>
      </c>
      <c r="L105" t="str">
        <v>14H00</v>
      </c>
      <c r="M105" t="str">
        <v>R2</v>
      </c>
      <c r="N105" t="str">
        <v>Journée 6</v>
      </c>
      <c r="O105" t="str">
        <v>ST JEAN CHAMPS 1</v>
      </c>
      <c r="P105" t="str">
        <v>AS CORMELLES TT 2</v>
      </c>
    </row>
    <row r="106" spans="9:16" x14ac:dyDescent="0.25">
      <c r="I106" t="str">
        <v>LEDO</v>
      </c>
      <c r="J106" s="68">
        <v>167</v>
      </c>
      <c r="K106" s="69">
        <v>46032</v>
      </c>
      <c r="L106" t="str">
        <v>16H00</v>
      </c>
      <c r="M106" t="str">
        <v>R4</v>
      </c>
      <c r="N106" t="str">
        <v>Journée 7</v>
      </c>
      <c r="O106" t="str">
        <v>SAINT JAMES TT 5</v>
      </c>
      <c r="P106" t="str">
        <v>BRICQUEBEC UC  1</v>
      </c>
    </row>
    <row r="107" spans="9:16" x14ac:dyDescent="0.25">
      <c r="I107" t="str">
        <v>LEJM</v>
      </c>
      <c r="J107" s="68">
        <v>9</v>
      </c>
      <c r="K107" s="69">
        <v>45920</v>
      </c>
      <c r="L107" t="str">
        <v>16H00</v>
      </c>
      <c r="M107" t="str">
        <v>R2</v>
      </c>
      <c r="N107" t="str">
        <v>Journée 1</v>
      </c>
      <c r="O107" t="str">
        <v>ASSUN TT 1</v>
      </c>
      <c r="P107" t="str">
        <v>SAINT PAIR BRICQUEVILLE TT 4</v>
      </c>
    </row>
    <row r="108" spans="9:16" x14ac:dyDescent="0.25">
      <c r="I108" t="str">
        <v>LEJM</v>
      </c>
      <c r="J108" s="68">
        <v>92</v>
      </c>
      <c r="K108" s="69">
        <v>45976</v>
      </c>
      <c r="L108" t="str">
        <v>16H00</v>
      </c>
      <c r="M108" t="str">
        <v>R4</v>
      </c>
      <c r="N108" t="str">
        <v>Journée 4</v>
      </c>
      <c r="O108" t="str">
        <v>BRICQUEBEC UC  1</v>
      </c>
      <c r="P108" t="str">
        <v>AS CORMELLES TT 4</v>
      </c>
    </row>
    <row r="109" spans="9:16" x14ac:dyDescent="0.25">
      <c r="I109" t="str">
        <v>LEJM</v>
      </c>
      <c r="J109" s="68">
        <v>140</v>
      </c>
      <c r="K109" s="69">
        <v>46004</v>
      </c>
      <c r="L109" t="str">
        <v>16H00</v>
      </c>
      <c r="M109" t="str">
        <v>R4</v>
      </c>
      <c r="N109" t="str">
        <v>Journée 6</v>
      </c>
      <c r="O109" t="str">
        <v>BRICQUEBEC UC  1</v>
      </c>
      <c r="P109" t="str">
        <v xml:space="preserve">LA FERTE MACE ALTT 1 </v>
      </c>
    </row>
    <row r="110" spans="9:16" x14ac:dyDescent="0.25">
      <c r="I110" t="str">
        <v>LEJP</v>
      </c>
      <c r="J110" s="68">
        <v>127</v>
      </c>
      <c r="K110" s="69">
        <v>46004</v>
      </c>
      <c r="L110" t="str">
        <v>16H00</v>
      </c>
      <c r="M110" t="str">
        <v>R2</v>
      </c>
      <c r="N110" t="str">
        <v>Journée 6</v>
      </c>
      <c r="O110" t="str">
        <v>COUTANCES JA 2</v>
      </c>
      <c r="P110" t="str">
        <v>CHERBOURG US 1</v>
      </c>
    </row>
    <row r="111" spans="9:16" x14ac:dyDescent="0.25">
      <c r="I111" t="str">
        <v>LENO</v>
      </c>
      <c r="J111" s="68">
        <v>109</v>
      </c>
      <c r="K111" s="69">
        <v>45990</v>
      </c>
      <c r="L111" t="str">
        <v>16H00</v>
      </c>
      <c r="M111" t="str">
        <v>R3</v>
      </c>
      <c r="N111" t="str">
        <v>Journée 5</v>
      </c>
      <c r="O111" t="str">
        <v>DONVILLE USM 1</v>
      </c>
      <c r="P111" t="str">
        <v>QUERQUEVILLE AS 1</v>
      </c>
    </row>
    <row r="112" spans="9:16" x14ac:dyDescent="0.25">
      <c r="I112" t="str">
        <v>LENO</v>
      </c>
      <c r="J112" s="68">
        <v>152</v>
      </c>
      <c r="K112" s="69">
        <v>46032</v>
      </c>
      <c r="L112" t="str">
        <v>16H00</v>
      </c>
      <c r="M112" t="str">
        <v>R2</v>
      </c>
      <c r="N112" t="str">
        <v>Journée 7</v>
      </c>
      <c r="O112" t="str">
        <v>MORTAIN ENT 1</v>
      </c>
      <c r="P112" t="str">
        <v>ARGENTAN BAYARD 4</v>
      </c>
    </row>
    <row r="113" spans="9:16" x14ac:dyDescent="0.25">
      <c r="I113" t="str">
        <v>LEPH</v>
      </c>
      <c r="J113" s="68">
        <v>91</v>
      </c>
      <c r="K113" s="69">
        <v>45976</v>
      </c>
      <c r="L113" t="str">
        <v>16H00</v>
      </c>
      <c r="M113" t="str">
        <v>R4</v>
      </c>
      <c r="N113" t="str">
        <v>Journée 4</v>
      </c>
      <c r="O113" t="str">
        <v>CHERBOURG US  3</v>
      </c>
      <c r="P113" t="str">
        <v>CONDE/ SLSN 2</v>
      </c>
    </row>
    <row r="114" spans="9:16" x14ac:dyDescent="0.25">
      <c r="I114" t="str">
        <v>LEPH</v>
      </c>
      <c r="J114" s="68">
        <v>141</v>
      </c>
      <c r="K114" s="69">
        <v>46004</v>
      </c>
      <c r="L114" t="str">
        <v>16H00</v>
      </c>
      <c r="M114" t="str">
        <v>R4</v>
      </c>
      <c r="N114" t="str">
        <v>Journée 6</v>
      </c>
      <c r="O114" t="str">
        <v>CHERBOURG US  3</v>
      </c>
      <c r="P114" t="str">
        <v>SAINT JAMES TT 5</v>
      </c>
    </row>
    <row r="115" spans="9:16" x14ac:dyDescent="0.25">
      <c r="I115" t="str">
        <v>LEPH</v>
      </c>
      <c r="J115" s="68">
        <v>165</v>
      </c>
      <c r="K115" s="69">
        <v>46032</v>
      </c>
      <c r="L115" t="str">
        <v>16H00</v>
      </c>
      <c r="M115" t="str">
        <v>R4</v>
      </c>
      <c r="N115" t="str">
        <v>Journée 7</v>
      </c>
      <c r="O115" t="str">
        <v xml:space="preserve"> 	LA GLACERIE US  1</v>
      </c>
      <c r="P115" t="str">
        <v>AS CORMELLES TT 5</v>
      </c>
    </row>
    <row r="116" spans="9:16" x14ac:dyDescent="0.25">
      <c r="I116" t="str">
        <v>LEPLA</v>
      </c>
      <c r="J116" s="68">
        <v>44</v>
      </c>
      <c r="K116" s="69">
        <v>45927</v>
      </c>
      <c r="L116" t="str">
        <v>16H00</v>
      </c>
      <c r="M116" t="str">
        <v>R4</v>
      </c>
      <c r="N116" t="str">
        <v>Journée 2</v>
      </c>
      <c r="O116" t="str">
        <v>CARENTANAIS CL 1</v>
      </c>
      <c r="P116" t="str">
        <v>ST PIERRE EGLIS 2</v>
      </c>
    </row>
    <row r="117" spans="9:16" x14ac:dyDescent="0.25">
      <c r="I117" t="str">
        <v>LEPLA</v>
      </c>
      <c r="J117" s="68">
        <v>139</v>
      </c>
      <c r="K117" s="69">
        <v>46004</v>
      </c>
      <c r="L117" t="str">
        <v>16H00</v>
      </c>
      <c r="M117" t="str">
        <v>R4</v>
      </c>
      <c r="N117" t="str">
        <v>Journée 6</v>
      </c>
      <c r="O117" t="str">
        <v>CARENTANAIS CL 1</v>
      </c>
      <c r="P117" t="str">
        <v>ATT DUCEY AVRANCHES 2</v>
      </c>
    </row>
    <row r="118" spans="9:16" x14ac:dyDescent="0.25">
      <c r="I118" t="str">
        <v>LEPLA</v>
      </c>
      <c r="J118" s="68">
        <v>153</v>
      </c>
      <c r="K118" s="69">
        <v>46032</v>
      </c>
      <c r="L118" t="str">
        <v>16H00</v>
      </c>
      <c r="M118" t="str">
        <v>R2</v>
      </c>
      <c r="N118" t="str">
        <v>Journée 7</v>
      </c>
      <c r="O118" t="str">
        <v>CHERBOURG ASTT 1</v>
      </c>
      <c r="P118" t="str">
        <v>ST JEAN CHAMPS 1</v>
      </c>
    </row>
    <row r="119" spans="9:16" x14ac:dyDescent="0.25">
      <c r="I119" t="str">
        <v>LEPPA</v>
      </c>
      <c r="J119" s="68">
        <v>30</v>
      </c>
      <c r="K119" s="69">
        <v>45927</v>
      </c>
      <c r="L119" t="str">
        <v>16H00</v>
      </c>
      <c r="M119" t="str">
        <v>R3</v>
      </c>
      <c r="N119" t="str">
        <v>Journée 2</v>
      </c>
      <c r="O119" t="str">
        <v>SAINT LO PL 2</v>
      </c>
      <c r="P119" t="str">
        <v>ARGENTAN BAYARD 5</v>
      </c>
    </row>
    <row r="120" spans="9:16" x14ac:dyDescent="0.25">
      <c r="I120" t="str">
        <v>LEPPA</v>
      </c>
      <c r="J120" s="68">
        <v>132</v>
      </c>
      <c r="K120" s="69">
        <v>46004</v>
      </c>
      <c r="L120" t="str">
        <v>16H00</v>
      </c>
      <c r="M120" t="str">
        <v>R3</v>
      </c>
      <c r="N120" t="str">
        <v>Journée 6</v>
      </c>
      <c r="O120" t="str">
        <v>TORIGNAISE ESTT 1</v>
      </c>
      <c r="P120" t="str">
        <v>ACATT 2</v>
      </c>
    </row>
    <row r="121" spans="9:16" x14ac:dyDescent="0.25">
      <c r="I121" t="str">
        <v>LEYA</v>
      </c>
      <c r="J121" s="68">
        <v>49</v>
      </c>
      <c r="K121" s="69">
        <v>45928</v>
      </c>
      <c r="L121" t="str">
        <v>14H00</v>
      </c>
      <c r="M121" t="str">
        <v>R2</v>
      </c>
      <c r="N121" t="str">
        <v>Journée 2</v>
      </c>
      <c r="O121" t="str">
        <v>LES PIEUX TT 1</v>
      </c>
      <c r="P121" t="str">
        <v>CHERBOURG US 1</v>
      </c>
    </row>
    <row r="122" spans="9:16" x14ac:dyDescent="0.25">
      <c r="I122" t="str">
        <v>LEYA</v>
      </c>
      <c r="J122" s="68">
        <v>129</v>
      </c>
      <c r="K122" s="69">
        <v>46004</v>
      </c>
      <c r="L122" t="str">
        <v>16H00</v>
      </c>
      <c r="M122" t="str">
        <v>R2</v>
      </c>
      <c r="N122" t="str">
        <v>Journée 6</v>
      </c>
      <c r="O122" t="str">
        <v>ASSUN TT 1</v>
      </c>
      <c r="P122" t="str">
        <v>ST GERMAIN DU CORBEIS 2</v>
      </c>
    </row>
    <row r="123" spans="9:16" x14ac:dyDescent="0.25">
      <c r="I123" t="str">
        <v>LUST</v>
      </c>
      <c r="J123" s="68">
        <v>6</v>
      </c>
      <c r="K123" s="69">
        <v>45920</v>
      </c>
      <c r="L123" t="str">
        <v>16H00</v>
      </c>
      <c r="M123" t="str">
        <v>R2</v>
      </c>
      <c r="N123" t="str">
        <v>Journée 1</v>
      </c>
      <c r="O123" t="str">
        <v>CHERBOURG US 1</v>
      </c>
      <c r="P123" t="str">
        <v>LISIEUX ASTT 1</v>
      </c>
    </row>
    <row r="124" spans="9:16" x14ac:dyDescent="0.25">
      <c r="I124" t="str">
        <v>LUST</v>
      </c>
      <c r="J124" s="68">
        <v>11</v>
      </c>
      <c r="K124" s="69">
        <v>45920</v>
      </c>
      <c r="L124" t="str">
        <v>16H00</v>
      </c>
      <c r="M124" t="str">
        <v>R3</v>
      </c>
      <c r="N124" t="str">
        <v>Journée 1</v>
      </c>
      <c r="O124" t="str">
        <v>CHERBOURG US 2</v>
      </c>
      <c r="P124" t="str">
        <v>OC AGNEAUX  2</v>
      </c>
    </row>
    <row r="125" spans="9:16" x14ac:dyDescent="0.25">
      <c r="I125" t="str">
        <v>LUST</v>
      </c>
      <c r="J125" s="68">
        <v>34</v>
      </c>
      <c r="K125" s="69">
        <v>45927</v>
      </c>
      <c r="L125" t="str">
        <v>16H00</v>
      </c>
      <c r="M125" t="str">
        <v>R3</v>
      </c>
      <c r="N125" t="str">
        <v>Journée 2</v>
      </c>
      <c r="O125" t="str">
        <v>FEUILLIE CREANCES 1</v>
      </c>
      <c r="P125" t="str">
        <v>CHERBOURG US 2</v>
      </c>
    </row>
    <row r="126" spans="9:16" x14ac:dyDescent="0.25">
      <c r="I126" t="str">
        <v>LUST</v>
      </c>
      <c r="J126" s="68">
        <v>46</v>
      </c>
      <c r="K126" s="69">
        <v>45927</v>
      </c>
      <c r="L126" t="str">
        <v>16H00</v>
      </c>
      <c r="M126" t="str">
        <v>R4</v>
      </c>
      <c r="N126" t="str">
        <v>Journée 2</v>
      </c>
      <c r="O126" t="str">
        <v>CHERBOURG US  3</v>
      </c>
      <c r="P126" t="str">
        <v>VILLERS BOCAGE  1</v>
      </c>
    </row>
    <row r="127" spans="9:16" x14ac:dyDescent="0.25">
      <c r="I127" t="str">
        <v>LUST</v>
      </c>
      <c r="J127" s="68">
        <v>55</v>
      </c>
      <c r="K127" s="69">
        <v>45941</v>
      </c>
      <c r="L127" t="str">
        <v>16H00</v>
      </c>
      <c r="M127" t="str">
        <v>R2</v>
      </c>
      <c r="N127" t="str">
        <v>Journée 3</v>
      </c>
      <c r="O127" t="str">
        <v>CHERBOURG ASTT 1</v>
      </c>
      <c r="P127" t="str">
        <v>PSJ TINCHEBRAY 1</v>
      </c>
    </row>
    <row r="128" spans="9:16" x14ac:dyDescent="0.25">
      <c r="I128" t="str">
        <v>LUST</v>
      </c>
      <c r="J128" s="68">
        <v>84</v>
      </c>
      <c r="K128" s="69">
        <v>45976</v>
      </c>
      <c r="L128" t="str">
        <v>15H00</v>
      </c>
      <c r="M128" t="str">
        <v>R3</v>
      </c>
      <c r="N128" t="str">
        <v>Journée 4</v>
      </c>
      <c r="O128" t="str">
        <v>QUERQUEVILLE AS 1</v>
      </c>
      <c r="P128" t="str">
        <v>TROARN TT 1</v>
      </c>
    </row>
    <row r="129" spans="9:16" x14ac:dyDescent="0.25">
      <c r="I129" t="str">
        <v>LUST</v>
      </c>
      <c r="J129" s="68">
        <v>88</v>
      </c>
      <c r="K129" s="69">
        <v>45976</v>
      </c>
      <c r="L129" t="str">
        <v>15H00</v>
      </c>
      <c r="M129" t="str">
        <v>R4</v>
      </c>
      <c r="N129" t="str">
        <v>Journée 4</v>
      </c>
      <c r="O129" t="str">
        <v>QUERQUEVILLE AS 2</v>
      </c>
      <c r="P129" t="str">
        <v>OUISTREHAM AP 6</v>
      </c>
    </row>
    <row r="130" spans="9:16" x14ac:dyDescent="0.25">
      <c r="I130" t="str">
        <v>MAJE</v>
      </c>
      <c r="J130" s="68">
        <v>107</v>
      </c>
      <c r="K130" s="69">
        <v>45990</v>
      </c>
      <c r="L130" t="str">
        <v>16H00</v>
      </c>
      <c r="M130" t="str">
        <v>R3</v>
      </c>
      <c r="N130" t="str">
        <v>Journée 5</v>
      </c>
      <c r="O130" t="str">
        <v>FEUILLIE CREANCES 1</v>
      </c>
      <c r="P130" t="str">
        <v>FLEURY S/O CSP 3</v>
      </c>
    </row>
    <row r="131" spans="9:16" x14ac:dyDescent="0.25">
      <c r="I131" t="str">
        <v>MAJE</v>
      </c>
      <c r="J131" s="68">
        <v>159</v>
      </c>
      <c r="K131" s="69">
        <v>46032</v>
      </c>
      <c r="L131" t="str">
        <v>16H00</v>
      </c>
      <c r="M131" t="str">
        <v>R3</v>
      </c>
      <c r="N131" t="str">
        <v>Journée 7</v>
      </c>
      <c r="O131" t="str">
        <v>FEUILLIE CREANCES 1</v>
      </c>
      <c r="P131" t="str">
        <v>ALENCON ETOILE 3</v>
      </c>
    </row>
    <row r="132" spans="9:16" x14ac:dyDescent="0.25">
      <c r="I132" t="str">
        <v>NALA</v>
      </c>
      <c r="J132" s="68">
        <v>12</v>
      </c>
      <c r="K132" s="69">
        <v>45920</v>
      </c>
      <c r="L132" t="str">
        <v>16H00</v>
      </c>
      <c r="M132" t="str">
        <v>R3</v>
      </c>
      <c r="N132" t="str">
        <v>Journée 1</v>
      </c>
      <c r="O132" t="str">
        <v>COUTANCES JA 3</v>
      </c>
      <c r="P132" t="str">
        <v>ST OUEN S/ITON 1</v>
      </c>
    </row>
    <row r="133" spans="9:16" x14ac:dyDescent="0.25">
      <c r="I133" t="str">
        <v>ORJE</v>
      </c>
      <c r="J133" s="68">
        <v>3</v>
      </c>
      <c r="K133" s="69">
        <v>45920</v>
      </c>
      <c r="L133" t="str">
        <v>16H00</v>
      </c>
      <c r="M133" t="str">
        <v>R1</v>
      </c>
      <c r="N133" t="str">
        <v>Journée 1</v>
      </c>
      <c r="O133" t="str">
        <v>EQUEURDREVILLE 1</v>
      </c>
      <c r="P133" t="str">
        <v>SAINT PAIR BRICQUEVILLE TT 3</v>
      </c>
    </row>
    <row r="134" spans="9:16" x14ac:dyDescent="0.25">
      <c r="I134" t="str">
        <v>POMA</v>
      </c>
      <c r="J134" s="68">
        <v>1</v>
      </c>
      <c r="K134" s="69">
        <v>45913</v>
      </c>
      <c r="L134" t="str">
        <v>16H00</v>
      </c>
      <c r="M134" t="str">
        <v>N2</v>
      </c>
      <c r="N134" t="str">
        <v>Journée 1</v>
      </c>
      <c r="O134" t="str">
        <v>SAINT PAIR BRICQUEVILLE 1</v>
      </c>
      <c r="P134" t="str">
        <v>IGNY AP 1</v>
      </c>
    </row>
    <row r="135" spans="9:16" x14ac:dyDescent="0.25">
      <c r="I135" t="str">
        <v>POMA</v>
      </c>
      <c r="J135" s="68">
        <v>23</v>
      </c>
      <c r="K135" s="69">
        <v>45927</v>
      </c>
      <c r="L135" t="str">
        <v>16H00</v>
      </c>
      <c r="M135" t="str">
        <v>R1</v>
      </c>
      <c r="N135" t="str">
        <v>Journée 2</v>
      </c>
      <c r="O135" t="str">
        <v>SAINT PAIR BRICQUEVILLE TT 3</v>
      </c>
      <c r="P135" t="str">
        <v>ALENCON ETOILE 2</v>
      </c>
    </row>
    <row r="136" spans="9:16" x14ac:dyDescent="0.25">
      <c r="I136" t="str">
        <v>REPA</v>
      </c>
      <c r="J136" s="68">
        <v>13</v>
      </c>
      <c r="K136" s="69">
        <v>45920</v>
      </c>
      <c r="L136" t="str">
        <v>16H00</v>
      </c>
      <c r="M136" t="str">
        <v>R3</v>
      </c>
      <c r="N136" t="str">
        <v>Journée 1</v>
      </c>
      <c r="O136" t="str">
        <v>ASSUN TT 2</v>
      </c>
      <c r="P136" t="str">
        <v>QUERQUEVILLE AS 1</v>
      </c>
    </row>
    <row r="137" spans="9:16" x14ac:dyDescent="0.25">
      <c r="I137" t="str">
        <v>REPA</v>
      </c>
      <c r="J137" s="68">
        <v>53</v>
      </c>
      <c r="K137" s="69">
        <v>45941</v>
      </c>
      <c r="L137" t="str">
        <v>16H00</v>
      </c>
      <c r="M137" t="str">
        <v>R2</v>
      </c>
      <c r="N137" t="str">
        <v>Journée 3</v>
      </c>
      <c r="O137" t="str">
        <v>CHERBOURG US 1</v>
      </c>
      <c r="P137" t="str">
        <v>MORTAIN ENT 1</v>
      </c>
    </row>
    <row r="138" spans="9:16" x14ac:dyDescent="0.25">
      <c r="I138" t="str">
        <v>REPA</v>
      </c>
      <c r="J138" s="68">
        <v>58</v>
      </c>
      <c r="K138" s="69">
        <v>45941</v>
      </c>
      <c r="L138" t="str">
        <v>16H00</v>
      </c>
      <c r="M138" t="str">
        <v>R3</v>
      </c>
      <c r="N138" t="str">
        <v>Journée 3</v>
      </c>
      <c r="O138" t="str">
        <v>CHERBOURG US 2</v>
      </c>
      <c r="P138" t="str">
        <v>VIROISE USM 1</v>
      </c>
    </row>
    <row r="139" spans="9:16" x14ac:dyDescent="0.25">
      <c r="I139" t="str">
        <v>REPA</v>
      </c>
      <c r="J139" s="68">
        <v>73</v>
      </c>
      <c r="K139" s="69">
        <v>45976</v>
      </c>
      <c r="L139" t="str">
        <v>16H00</v>
      </c>
      <c r="M139" t="str">
        <v>R1</v>
      </c>
      <c r="N139" t="str">
        <v>Journée 4</v>
      </c>
      <c r="O139" t="str">
        <v>EQUEURDREVILLE 1</v>
      </c>
      <c r="P139" t="str">
        <v>C HONFLEURAIS TT 1</v>
      </c>
    </row>
    <row r="140" spans="9:16" x14ac:dyDescent="0.25">
      <c r="I140" t="str">
        <v>REPA</v>
      </c>
      <c r="J140" s="68">
        <v>114</v>
      </c>
      <c r="K140" s="69">
        <v>45990</v>
      </c>
      <c r="L140" t="str">
        <v>16H00</v>
      </c>
      <c r="M140" t="str">
        <v>R4</v>
      </c>
      <c r="N140" t="str">
        <v>Journée 5</v>
      </c>
      <c r="O140" t="str">
        <v xml:space="preserve"> 	LA GLACERIE US  1</v>
      </c>
      <c r="P140" t="str">
        <v xml:space="preserve"> FLERS TT 5</v>
      </c>
    </row>
    <row r="141" spans="9:16" x14ac:dyDescent="0.25">
      <c r="I141" t="str">
        <v>REPA</v>
      </c>
      <c r="J141" s="68">
        <v>135</v>
      </c>
      <c r="K141" s="69">
        <v>46004</v>
      </c>
      <c r="L141" t="str">
        <v>16H00</v>
      </c>
      <c r="M141" t="str">
        <v>R3</v>
      </c>
      <c r="N141" t="str">
        <v>Journée 6</v>
      </c>
      <c r="O141" t="str">
        <v>QUERQUEVILLE AS 1</v>
      </c>
      <c r="P141" t="str">
        <v>ST OUEN S/ITON 1</v>
      </c>
    </row>
    <row r="142" spans="9:16" x14ac:dyDescent="0.25">
      <c r="I142" t="str">
        <v>REPA</v>
      </c>
      <c r="J142" s="68">
        <v>138</v>
      </c>
      <c r="K142" s="69">
        <v>46004</v>
      </c>
      <c r="L142" t="str">
        <v>16H00</v>
      </c>
      <c r="M142" t="str">
        <v>R4</v>
      </c>
      <c r="N142" t="str">
        <v>Journée 6</v>
      </c>
      <c r="O142" t="str">
        <v>QUERQUEVILLE AS 2</v>
      </c>
      <c r="P142" t="str">
        <v xml:space="preserve">LA FERTE FRENEL SPOTT 1 </v>
      </c>
    </row>
    <row r="143" spans="9:16" x14ac:dyDescent="0.25">
      <c r="I143" t="str">
        <v>REPA</v>
      </c>
      <c r="J143" s="68">
        <v>151</v>
      </c>
      <c r="K143" s="69">
        <v>46032</v>
      </c>
      <c r="L143" t="str">
        <v>16H00</v>
      </c>
      <c r="M143" t="str">
        <v>R2</v>
      </c>
      <c r="N143" t="str">
        <v>Journée 7</v>
      </c>
      <c r="O143" t="str">
        <v>CHERBOURG US 1</v>
      </c>
      <c r="P143" t="str">
        <v>CAENNAISE AG 3</v>
      </c>
    </row>
    <row r="144" spans="9:16" x14ac:dyDescent="0.25">
      <c r="I144" t="str">
        <v>REPA</v>
      </c>
      <c r="J144" s="68">
        <v>158</v>
      </c>
      <c r="K144" s="69">
        <v>46032</v>
      </c>
      <c r="L144" t="str">
        <v>16H00</v>
      </c>
      <c r="M144" t="str">
        <v>R3</v>
      </c>
      <c r="N144" t="str">
        <v>Journée 7</v>
      </c>
      <c r="O144" t="str">
        <v>CHERBOURG US 2</v>
      </c>
      <c r="P144" t="str">
        <v>CAENNAISE AG 4</v>
      </c>
    </row>
    <row r="145" spans="9:16" x14ac:dyDescent="0.25">
      <c r="I145" t="str">
        <v>ROPI</v>
      </c>
      <c r="J145" s="68">
        <v>17</v>
      </c>
      <c r="K145" s="69">
        <v>45921</v>
      </c>
      <c r="L145" t="str">
        <v>14H00</v>
      </c>
      <c r="M145" t="str">
        <v>R1</v>
      </c>
      <c r="N145" t="str">
        <v>Journée 1</v>
      </c>
      <c r="O145" t="str">
        <v>ST PIERRE EGLISE 1</v>
      </c>
      <c r="P145" t="str">
        <v>ACATT 1</v>
      </c>
    </row>
    <row r="146" spans="9:16" x14ac:dyDescent="0.25">
      <c r="I146" t="str">
        <v>ROPI</v>
      </c>
      <c r="J146" s="68">
        <v>20</v>
      </c>
      <c r="K146" s="69">
        <v>45921</v>
      </c>
      <c r="L146" t="str">
        <v>14H00</v>
      </c>
      <c r="M146" t="str">
        <v>R4</v>
      </c>
      <c r="N146" t="str">
        <v>Journée 1</v>
      </c>
      <c r="O146" t="str">
        <v>ST PIERRE EGLIS 2</v>
      </c>
      <c r="P146" t="str">
        <v>ATT DUCEY AVRANCHES 2</v>
      </c>
    </row>
    <row r="147" spans="9:16" x14ac:dyDescent="0.25">
      <c r="I147" t="str">
        <v>ROPI</v>
      </c>
      <c r="J147" s="68">
        <v>67</v>
      </c>
      <c r="K147" s="69">
        <v>45942</v>
      </c>
      <c r="L147" t="str">
        <v>14H00</v>
      </c>
      <c r="M147" t="str">
        <v>R1</v>
      </c>
      <c r="N147" t="str">
        <v>Journée 3</v>
      </c>
      <c r="O147" t="str">
        <v>ST PIERRE EGLISE 1</v>
      </c>
      <c r="P147" t="str">
        <v>ST HILAIRE/PARIGNY 1</v>
      </c>
    </row>
    <row r="148" spans="9:16" x14ac:dyDescent="0.25">
      <c r="I148" t="str">
        <v>ROPI</v>
      </c>
      <c r="J148" s="68">
        <v>70</v>
      </c>
      <c r="K148" s="69">
        <v>45942</v>
      </c>
      <c r="L148" t="str">
        <v>14H00</v>
      </c>
      <c r="M148" t="str">
        <v>R4</v>
      </c>
      <c r="N148" t="str">
        <v>Journée 3</v>
      </c>
      <c r="O148" t="str">
        <v>ST PIERRE EGLIS 2</v>
      </c>
      <c r="P148" t="str">
        <v xml:space="preserve"> FLERS TT 5</v>
      </c>
    </row>
    <row r="149" spans="9:16" x14ac:dyDescent="0.25">
      <c r="I149" t="str">
        <v>TELA</v>
      </c>
      <c r="J149" s="68">
        <v>19</v>
      </c>
      <c r="K149" s="69">
        <v>45921</v>
      </c>
      <c r="L149" t="str">
        <v>14H00</v>
      </c>
      <c r="M149" t="str">
        <v>R4</v>
      </c>
      <c r="N149" t="str">
        <v>Journée 1</v>
      </c>
      <c r="O149" t="str">
        <v>SAINT JAMES TT 4</v>
      </c>
      <c r="P149" t="str">
        <v>LISIEUX ASTT 2</v>
      </c>
    </row>
    <row r="150" spans="9:16" x14ac:dyDescent="0.25">
      <c r="I150" t="str">
        <v>TELA</v>
      </c>
      <c r="J150" s="68">
        <v>29</v>
      </c>
      <c r="K150" s="69">
        <v>45927</v>
      </c>
      <c r="L150" t="str">
        <v>16H00</v>
      </c>
      <c r="M150" t="str">
        <v>R3</v>
      </c>
      <c r="N150" t="str">
        <v>Journée 2</v>
      </c>
      <c r="O150" t="str">
        <v>ATT DUCEY AVRANCHES 1</v>
      </c>
      <c r="P150" t="str">
        <v>C HONFLEURAISTT 2</v>
      </c>
    </row>
    <row r="151" spans="9:16" x14ac:dyDescent="0.25">
      <c r="I151" t="str">
        <v>TELA</v>
      </c>
      <c r="J151" s="68">
        <v>43</v>
      </c>
      <c r="K151" s="69">
        <v>45927</v>
      </c>
      <c r="L151" t="str">
        <v>16H00</v>
      </c>
      <c r="M151" t="str">
        <v>R4</v>
      </c>
      <c r="N151" t="str">
        <v>Journée 2</v>
      </c>
      <c r="O151" t="str">
        <v>ATT DUCEY AVRANCHES 2</v>
      </c>
      <c r="P151" t="str">
        <v>AS CORMELLES TT 5</v>
      </c>
    </row>
    <row r="152" spans="9:16" x14ac:dyDescent="0.25">
      <c r="I152" t="str">
        <v>TELA</v>
      </c>
      <c r="J152" s="68">
        <v>147</v>
      </c>
      <c r="K152" s="69">
        <v>46005</v>
      </c>
      <c r="L152" t="str">
        <v>14H00</v>
      </c>
      <c r="M152" t="str">
        <v>R4</v>
      </c>
      <c r="N152" t="str">
        <v>Journée 6</v>
      </c>
      <c r="O152" t="str">
        <v>SAINT JAMES TT 4</v>
      </c>
      <c r="P152" t="str">
        <v>ST HILAIRE/PARIGNY 3</v>
      </c>
    </row>
    <row r="153" spans="9:16" x14ac:dyDescent="0.25">
      <c r="I153" t="str">
        <v>THTH</v>
      </c>
      <c r="J153" s="68">
        <v>85</v>
      </c>
      <c r="K153" s="69">
        <v>45976</v>
      </c>
      <c r="L153" t="str">
        <v>16H00</v>
      </c>
      <c r="M153" t="str">
        <v>R3</v>
      </c>
      <c r="N153" t="str">
        <v>Journée 4</v>
      </c>
      <c r="O153" t="str">
        <v>ASSUN TT 2</v>
      </c>
      <c r="P153" t="str">
        <v>TOURVILLE ASLO 2</v>
      </c>
    </row>
    <row r="154" spans="9:16" x14ac:dyDescent="0.25">
      <c r="I154" t="str">
        <v>TRAN</v>
      </c>
      <c r="J154" s="68">
        <v>15</v>
      </c>
      <c r="K154" s="69">
        <v>45920</v>
      </c>
      <c r="L154" t="str">
        <v>16H00</v>
      </c>
      <c r="M154" t="str">
        <v>R4</v>
      </c>
      <c r="N154" t="str">
        <v>Journée 1</v>
      </c>
      <c r="O154" t="str">
        <v xml:space="preserve"> 	LA GLACERIE US  1</v>
      </c>
      <c r="P154" t="str">
        <v>ST ANDRE/O USSA 2</v>
      </c>
    </row>
    <row r="155" spans="9:16" x14ac:dyDescent="0.25">
      <c r="I155" t="str">
        <v>TRAN</v>
      </c>
      <c r="J155" s="68">
        <v>40</v>
      </c>
      <c r="K155" s="69">
        <v>45927</v>
      </c>
      <c r="L155" t="str">
        <v>16H00</v>
      </c>
      <c r="M155" t="str">
        <v>R4</v>
      </c>
      <c r="N155" t="str">
        <v>Journée 2</v>
      </c>
      <c r="O155" t="str">
        <v>MONTEBOURG SAEL 1</v>
      </c>
      <c r="P155" t="str">
        <v>OUISTREHAM AP 6</v>
      </c>
    </row>
    <row r="156" spans="9:16" x14ac:dyDescent="0.25">
      <c r="I156" t="str">
        <v>TRAN</v>
      </c>
      <c r="J156" s="68">
        <v>64</v>
      </c>
      <c r="K156" s="69">
        <v>45941</v>
      </c>
      <c r="L156" t="str">
        <v>16H00</v>
      </c>
      <c r="M156" t="str">
        <v>R4</v>
      </c>
      <c r="N156" t="str">
        <v>Journée 3</v>
      </c>
      <c r="O156" t="str">
        <v xml:space="preserve"> 	LA GLACERIE US  1</v>
      </c>
      <c r="P156" t="str">
        <v>ATT DUCEY AVRANCHES 2</v>
      </c>
    </row>
    <row r="157" spans="9:16" x14ac:dyDescent="0.25">
      <c r="I157" t="str">
        <v>TRAN</v>
      </c>
      <c r="J157" s="68">
        <v>80</v>
      </c>
      <c r="K157" s="69">
        <v>45976</v>
      </c>
      <c r="L157" t="str">
        <v>16H00</v>
      </c>
      <c r="M157" t="str">
        <v>R2</v>
      </c>
      <c r="N157" t="str">
        <v>Journée 4</v>
      </c>
      <c r="O157" t="str">
        <v>ASSUN TT 1</v>
      </c>
      <c r="P157" t="str">
        <v>SAINT JAMES TT 3</v>
      </c>
    </row>
    <row r="158" spans="9:16" x14ac:dyDescent="0.25">
      <c r="I158" t="str">
        <v>TRAN</v>
      </c>
      <c r="J158" s="68">
        <v>112</v>
      </c>
      <c r="K158" s="69">
        <v>45990</v>
      </c>
      <c r="L158" t="str">
        <v>16H00</v>
      </c>
      <c r="M158" t="str">
        <v>R4</v>
      </c>
      <c r="N158" t="str">
        <v>Journée 5</v>
      </c>
      <c r="O158" t="str">
        <v>MONTEBOURG SAEL 1</v>
      </c>
      <c r="P158" t="str">
        <v>QUERQUEVILLE AS 2</v>
      </c>
    </row>
    <row r="159" spans="9:16" x14ac:dyDescent="0.25">
      <c r="I159" t="str">
        <v>TRAN</v>
      </c>
      <c r="J159" s="68">
        <v>122</v>
      </c>
      <c r="K159" s="69">
        <v>46004</v>
      </c>
      <c r="L159" t="str">
        <v>16H00</v>
      </c>
      <c r="M159" t="str">
        <v>R1</v>
      </c>
      <c r="N159" t="str">
        <v>Journée 6</v>
      </c>
      <c r="O159" t="str">
        <v>EQUEURDREVILLE 1</v>
      </c>
      <c r="P159" t="str">
        <v>COUTANCES JA 1</v>
      </c>
    </row>
    <row r="160" spans="9:16" x14ac:dyDescent="0.25">
      <c r="I160" t="str">
        <v>TRAN</v>
      </c>
      <c r="J160" s="68">
        <v>163</v>
      </c>
      <c r="K160" s="69">
        <v>46032</v>
      </c>
      <c r="L160" t="str">
        <v>16H00</v>
      </c>
      <c r="M160" t="str">
        <v>R4</v>
      </c>
      <c r="N160" t="str">
        <v>Journée 7</v>
      </c>
      <c r="O160" t="str">
        <v>MONTEBOURG SAEL 1</v>
      </c>
      <c r="P160" t="str">
        <v>MONDEVILLE TT 2</v>
      </c>
    </row>
    <row r="161" spans="9:16" x14ac:dyDescent="0.25">
      <c r="I161" t="str">
        <v>VAAG</v>
      </c>
      <c r="J161" s="68">
        <v>7</v>
      </c>
      <c r="K161" s="69">
        <v>45920</v>
      </c>
      <c r="L161" t="str">
        <v>16H00</v>
      </c>
      <c r="M161" t="str">
        <v>R2</v>
      </c>
      <c r="N161" t="str">
        <v>Journée 1</v>
      </c>
      <c r="O161" t="str">
        <v>COUTANCES JA 2</v>
      </c>
      <c r="P161" t="str">
        <v>MORTAIN ENT 1</v>
      </c>
    </row>
    <row r="162" spans="9:16" x14ac:dyDescent="0.25">
      <c r="I162" t="str">
        <v>VAAG</v>
      </c>
      <c r="J162" s="68">
        <v>51</v>
      </c>
      <c r="K162" s="69">
        <v>45941</v>
      </c>
      <c r="L162" t="str">
        <v>16H00</v>
      </c>
      <c r="M162" t="str">
        <v>R1</v>
      </c>
      <c r="N162" t="str">
        <v>Journée 3</v>
      </c>
      <c r="O162" t="str">
        <v>OC AGNEAUX  1</v>
      </c>
      <c r="P162" t="str">
        <v>COUTANCES JA 1</v>
      </c>
    </row>
    <row r="163" spans="9:16" x14ac:dyDescent="0.25">
      <c r="I163" t="str">
        <v>VAAG</v>
      </c>
      <c r="J163" s="68">
        <v>81</v>
      </c>
      <c r="K163" s="69">
        <v>45976</v>
      </c>
      <c r="L163" t="str">
        <v>16H00</v>
      </c>
      <c r="M163" t="str">
        <v>R3</v>
      </c>
      <c r="N163" t="str">
        <v>Journée 4</v>
      </c>
      <c r="O163" t="str">
        <v>SAINT LO PL 2</v>
      </c>
      <c r="P163" t="str">
        <v>ISIGNY-MONTIGNY 1</v>
      </c>
    </row>
    <row r="164" spans="9:16" x14ac:dyDescent="0.25">
      <c r="I164" t="str">
        <v>VAAG</v>
      </c>
      <c r="J164" s="68">
        <v>99</v>
      </c>
      <c r="K164" s="69">
        <v>45990</v>
      </c>
      <c r="L164" t="str">
        <v>16H00</v>
      </c>
      <c r="M164" t="str">
        <v>R1</v>
      </c>
      <c r="N164" t="str">
        <v>Journée 5</v>
      </c>
      <c r="O164" t="str">
        <v>OC AGNEAUX  1</v>
      </c>
      <c r="P164" t="str">
        <v>AS CORMELLES TT 1</v>
      </c>
    </row>
    <row r="165" spans="9:16" x14ac:dyDescent="0.25">
      <c r="I165" t="str">
        <v>VAAG</v>
      </c>
      <c r="J165" s="68">
        <v>131</v>
      </c>
      <c r="K165" s="69">
        <v>46004</v>
      </c>
      <c r="L165" t="str">
        <v>16H00</v>
      </c>
      <c r="M165" t="str">
        <v>R3</v>
      </c>
      <c r="N165" t="str">
        <v>Journée 6</v>
      </c>
      <c r="O165" t="str">
        <v>SAINT LO PL 2</v>
      </c>
      <c r="P165" t="str">
        <v>ATT DUCEY AVRANCHES 1</v>
      </c>
    </row>
    <row r="166" spans="9:16" x14ac:dyDescent="0.25">
      <c r="I166" t="str">
        <v>VAAG</v>
      </c>
      <c r="J166" s="68">
        <v>150</v>
      </c>
      <c r="K166" s="69">
        <v>46032</v>
      </c>
      <c r="L166" t="str">
        <v>16H00</v>
      </c>
      <c r="M166" t="str">
        <v>R1</v>
      </c>
      <c r="N166" t="str">
        <v>Journée 7</v>
      </c>
      <c r="O166" t="str">
        <v>OC AGNEAUX  1</v>
      </c>
      <c r="P166" t="str">
        <v>SAINT PAIR BRICQUEVILLE TT 3</v>
      </c>
    </row>
    <row r="167" spans="9:16" x14ac:dyDescent="0.25">
      <c r="I167" t="str">
        <v>YRAN</v>
      </c>
      <c r="J167" s="68">
        <v>68</v>
      </c>
      <c r="K167" s="69">
        <v>45942</v>
      </c>
      <c r="L167" t="str">
        <v>14H00</v>
      </c>
      <c r="M167" t="str">
        <v>R2</v>
      </c>
      <c r="N167" t="str">
        <v>Journée 3</v>
      </c>
      <c r="O167" t="str">
        <v>SAINT JAMES TT 3</v>
      </c>
      <c r="P167" t="str">
        <v>SAINT PAIR BRICQUEVILLE TT 4</v>
      </c>
    </row>
    <row r="168" spans="9:16" x14ac:dyDescent="0.25">
      <c r="J168" s="68"/>
    </row>
    <row r="169" spans="9:16" x14ac:dyDescent="0.25">
      <c r="J169" s="68"/>
    </row>
    <row r="170" spans="9:16" x14ac:dyDescent="0.25">
      <c r="J170" s="68"/>
    </row>
    <row r="171" spans="9:16" x14ac:dyDescent="0.25">
      <c r="J171" s="68"/>
    </row>
    <row r="172" spans="9:16" x14ac:dyDescent="0.25">
      <c r="J172" s="68"/>
    </row>
    <row r="173" spans="9:16" x14ac:dyDescent="0.25">
      <c r="J173" s="68"/>
    </row>
    <row r="174" spans="9:16" x14ac:dyDescent="0.25">
      <c r="J174" s="68"/>
    </row>
    <row r="175" spans="9:16" x14ac:dyDescent="0.25">
      <c r="J175" s="68"/>
    </row>
    <row r="176" spans="9:16" x14ac:dyDescent="0.25">
      <c r="J176" s="68"/>
    </row>
    <row r="177" spans="10:10" x14ac:dyDescent="0.25">
      <c r="J177" s="68"/>
    </row>
    <row r="178" spans="10:10" x14ac:dyDescent="0.25">
      <c r="J178" s="68"/>
    </row>
    <row r="179" spans="10:10" x14ac:dyDescent="0.25">
      <c r="J179" s="68"/>
    </row>
    <row r="180" spans="10:10" x14ac:dyDescent="0.25">
      <c r="J180" s="68"/>
    </row>
    <row r="181" spans="10:10" x14ac:dyDescent="0.25">
      <c r="J181" s="68"/>
    </row>
    <row r="182" spans="10:10" x14ac:dyDescent="0.25">
      <c r="J182" s="68"/>
    </row>
    <row r="183" spans="10:10" x14ac:dyDescent="0.25">
      <c r="J183" s="68"/>
    </row>
    <row r="184" spans="10:10" x14ac:dyDescent="0.25">
      <c r="J184" s="68"/>
    </row>
    <row r="185" spans="10:10" x14ac:dyDescent="0.25">
      <c r="J185" s="68"/>
    </row>
    <row r="186" spans="10:10" x14ac:dyDescent="0.25">
      <c r="J186" s="68"/>
    </row>
    <row r="187" spans="10:10" x14ac:dyDescent="0.25">
      <c r="J187" s="68"/>
    </row>
    <row r="188" spans="10:10" x14ac:dyDescent="0.25">
      <c r="J188" s="68"/>
    </row>
    <row r="189" spans="10:10" x14ac:dyDescent="0.25">
      <c r="J189" s="68"/>
    </row>
    <row r="190" spans="10:10" x14ac:dyDescent="0.25">
      <c r="J190" s="68"/>
    </row>
    <row r="191" spans="10:10" x14ac:dyDescent="0.25">
      <c r="J191" s="68"/>
    </row>
    <row r="192" spans="10:10" x14ac:dyDescent="0.25">
      <c r="J192" s="68"/>
    </row>
    <row r="193" spans="10:10" x14ac:dyDescent="0.25">
      <c r="J193" s="68"/>
    </row>
    <row r="194" spans="10:10" x14ac:dyDescent="0.25">
      <c r="J194" s="68"/>
    </row>
    <row r="195" spans="10:10" x14ac:dyDescent="0.25">
      <c r="J195" s="68"/>
    </row>
    <row r="196" spans="10:10" x14ac:dyDescent="0.25">
      <c r="J196" s="68"/>
    </row>
    <row r="197" spans="10:10" x14ac:dyDescent="0.25">
      <c r="J197" s="68"/>
    </row>
    <row r="198" spans="10:10" x14ac:dyDescent="0.25">
      <c r="J198" s="68"/>
    </row>
    <row r="199" spans="10:10" x14ac:dyDescent="0.25">
      <c r="J199" s="68"/>
    </row>
    <row r="200" spans="10:10" x14ac:dyDescent="0.25">
      <c r="J200" s="68"/>
    </row>
    <row r="201" spans="10:10" x14ac:dyDescent="0.25">
      <c r="J201" s="68"/>
    </row>
    <row r="202" spans="10:10" x14ac:dyDescent="0.25">
      <c r="J202" s="68"/>
    </row>
    <row r="203" spans="10:10" x14ac:dyDescent="0.25">
      <c r="J203" s="68"/>
    </row>
    <row r="204" spans="10:10" x14ac:dyDescent="0.25">
      <c r="J204" s="68"/>
    </row>
    <row r="205" spans="10:10" x14ac:dyDescent="0.25">
      <c r="J205" s="68"/>
    </row>
    <row r="206" spans="10:10" x14ac:dyDescent="0.25">
      <c r="J206" s="68"/>
    </row>
    <row r="207" spans="10:10" x14ac:dyDescent="0.25">
      <c r="J207" s="68"/>
    </row>
    <row r="208" spans="10:10" x14ac:dyDescent="0.25">
      <c r="J208" s="68"/>
    </row>
    <row r="209" spans="10:10" x14ac:dyDescent="0.25">
      <c r="J209" s="68"/>
    </row>
    <row r="210" spans="10:10" x14ac:dyDescent="0.25">
      <c r="J210" s="68"/>
    </row>
    <row r="211" spans="10:10" x14ac:dyDescent="0.25">
      <c r="J211" s="68"/>
    </row>
    <row r="212" spans="10:10" x14ac:dyDescent="0.25">
      <c r="J212" s="68"/>
    </row>
    <row r="213" spans="10:10" x14ac:dyDescent="0.25">
      <c r="J213" s="68"/>
    </row>
    <row r="214" spans="10:10" x14ac:dyDescent="0.25">
      <c r="J214" s="68"/>
    </row>
    <row r="215" spans="10:10" x14ac:dyDescent="0.25">
      <c r="J215" s="68"/>
    </row>
    <row r="216" spans="10:10" x14ac:dyDescent="0.25">
      <c r="J216" s="68"/>
    </row>
    <row r="217" spans="10:10" x14ac:dyDescent="0.25">
      <c r="J217" s="68"/>
    </row>
    <row r="218" spans="10:10" x14ac:dyDescent="0.25">
      <c r="J218" s="68"/>
    </row>
    <row r="219" spans="10:10" x14ac:dyDescent="0.25">
      <c r="J219" s="68"/>
    </row>
    <row r="220" spans="10:10" x14ac:dyDescent="0.25">
      <c r="J220" s="68"/>
    </row>
    <row r="221" spans="10:10" x14ac:dyDescent="0.25">
      <c r="J221" s="68"/>
    </row>
    <row r="222" spans="10:10" x14ac:dyDescent="0.25">
      <c r="J222" s="68"/>
    </row>
    <row r="223" spans="10:10" x14ac:dyDescent="0.25">
      <c r="J223" s="68"/>
    </row>
    <row r="224" spans="10:10" x14ac:dyDescent="0.25">
      <c r="J224" s="68"/>
    </row>
    <row r="225" spans="10:10" x14ac:dyDescent="0.25">
      <c r="J225" s="68"/>
    </row>
    <row r="226" spans="10:10" x14ac:dyDescent="0.25">
      <c r="J226" s="68"/>
    </row>
    <row r="227" spans="10:10" x14ac:dyDescent="0.25">
      <c r="J227" s="68"/>
    </row>
    <row r="228" spans="10:10" x14ac:dyDescent="0.25">
      <c r="J228" s="68"/>
    </row>
    <row r="229" spans="10:10" x14ac:dyDescent="0.25">
      <c r="J229" s="68"/>
    </row>
    <row r="230" spans="10:10" x14ac:dyDescent="0.25">
      <c r="J230" s="68"/>
    </row>
    <row r="231" spans="10:10" x14ac:dyDescent="0.25">
      <c r="J231" s="68"/>
    </row>
    <row r="232" spans="10:10" x14ac:dyDescent="0.25">
      <c r="J232" s="68"/>
    </row>
    <row r="233" spans="10:10" x14ac:dyDescent="0.25">
      <c r="J233" s="68"/>
    </row>
    <row r="234" spans="10:10" x14ac:dyDescent="0.25">
      <c r="J234" s="68"/>
    </row>
    <row r="235" spans="10:10" x14ac:dyDescent="0.25">
      <c r="J235" s="68"/>
    </row>
    <row r="236" spans="10:10" x14ac:dyDescent="0.25">
      <c r="J236" s="68"/>
    </row>
    <row r="237" spans="10:10" x14ac:dyDescent="0.25">
      <c r="J237" s="68"/>
    </row>
    <row r="238" spans="10:10" x14ac:dyDescent="0.25">
      <c r="J238" s="68"/>
    </row>
    <row r="239" spans="10:10" x14ac:dyDescent="0.25">
      <c r="J239" s="68"/>
    </row>
    <row r="240" spans="10:10" x14ac:dyDescent="0.25">
      <c r="J240" s="68"/>
    </row>
    <row r="241" spans="10:10" x14ac:dyDescent="0.25">
      <c r="J241" s="68"/>
    </row>
    <row r="242" spans="10:10" x14ac:dyDescent="0.25">
      <c r="J242" s="68"/>
    </row>
    <row r="243" spans="10:10" x14ac:dyDescent="0.25">
      <c r="J243" s="68"/>
    </row>
    <row r="244" spans="10:10" x14ac:dyDescent="0.25">
      <c r="J244" s="68"/>
    </row>
    <row r="245" spans="10:10" x14ac:dyDescent="0.25">
      <c r="J245" s="68"/>
    </row>
    <row r="246" spans="10:10" x14ac:dyDescent="0.25">
      <c r="J246" s="68"/>
    </row>
    <row r="247" spans="10:10" x14ac:dyDescent="0.25">
      <c r="J247" s="68"/>
    </row>
    <row r="248" spans="10:10" x14ac:dyDescent="0.25">
      <c r="J248" s="68"/>
    </row>
    <row r="249" spans="10:10" x14ac:dyDescent="0.25">
      <c r="J249" s="68"/>
    </row>
    <row r="250" spans="10:10" x14ac:dyDescent="0.25">
      <c r="J250" s="68"/>
    </row>
    <row r="251" spans="10:10" x14ac:dyDescent="0.25">
      <c r="J251" s="68"/>
    </row>
    <row r="252" spans="10:10" x14ac:dyDescent="0.25">
      <c r="J252" s="68"/>
    </row>
    <row r="253" spans="10:10" x14ac:dyDescent="0.25">
      <c r="J253" s="68"/>
    </row>
    <row r="254" spans="10:10" x14ac:dyDescent="0.25">
      <c r="J254" s="68"/>
    </row>
    <row r="255" spans="10:10" x14ac:dyDescent="0.25">
      <c r="J255" s="68"/>
    </row>
    <row r="256" spans="10:10" x14ac:dyDescent="0.25">
      <c r="J256" s="68"/>
    </row>
    <row r="257" spans="10:10" x14ac:dyDescent="0.25">
      <c r="J257" s="68"/>
    </row>
    <row r="258" spans="10:10" x14ac:dyDescent="0.25">
      <c r="J258" s="68"/>
    </row>
    <row r="259" spans="10:10" x14ac:dyDescent="0.25">
      <c r="J259" s="68"/>
    </row>
    <row r="260" spans="10:10" x14ac:dyDescent="0.25">
      <c r="J260" s="68"/>
    </row>
    <row r="261" spans="10:10" x14ac:dyDescent="0.25">
      <c r="J261" s="68"/>
    </row>
    <row r="262" spans="10:10" x14ac:dyDescent="0.25">
      <c r="J262" s="68"/>
    </row>
    <row r="263" spans="10:10" x14ac:dyDescent="0.25">
      <c r="J263" s="68"/>
    </row>
    <row r="264" spans="10:10" x14ac:dyDescent="0.25">
      <c r="J264" s="68"/>
    </row>
    <row r="265" spans="10:10" x14ac:dyDescent="0.25">
      <c r="J265" s="68"/>
    </row>
    <row r="266" spans="10:10" x14ac:dyDescent="0.25">
      <c r="J266" s="68"/>
    </row>
    <row r="267" spans="10:10" x14ac:dyDescent="0.25">
      <c r="J267" s="68"/>
    </row>
    <row r="268" spans="10:10" x14ac:dyDescent="0.25">
      <c r="J268" s="68"/>
    </row>
    <row r="269" spans="10:10" x14ac:dyDescent="0.25">
      <c r="J269" s="68"/>
    </row>
    <row r="270" spans="10:10" x14ac:dyDescent="0.25">
      <c r="J270" s="68"/>
    </row>
    <row r="271" spans="10:10" x14ac:dyDescent="0.25">
      <c r="J271" s="68"/>
    </row>
    <row r="272" spans="10:10" x14ac:dyDescent="0.25">
      <c r="J272" s="68"/>
    </row>
    <row r="273" spans="10:10" x14ac:dyDescent="0.25">
      <c r="J273" s="68"/>
    </row>
    <row r="274" spans="10:10" x14ac:dyDescent="0.25">
      <c r="J274" s="68"/>
    </row>
    <row r="275" spans="10:10" x14ac:dyDescent="0.25">
      <c r="J275" s="68"/>
    </row>
    <row r="276" spans="10:10" x14ac:dyDescent="0.25">
      <c r="J276" s="68"/>
    </row>
    <row r="277" spans="10:10" x14ac:dyDescent="0.25">
      <c r="J277" s="68"/>
    </row>
    <row r="278" spans="10:10" x14ac:dyDescent="0.25">
      <c r="J278" s="68"/>
    </row>
    <row r="279" spans="10:10" x14ac:dyDescent="0.25">
      <c r="J279" s="68"/>
    </row>
    <row r="280" spans="10:10" x14ac:dyDescent="0.25">
      <c r="J280" s="68"/>
    </row>
    <row r="281" spans="10:10" x14ac:dyDescent="0.25">
      <c r="J281" s="68"/>
    </row>
    <row r="282" spans="10:10" x14ac:dyDescent="0.25">
      <c r="J282" s="68"/>
    </row>
    <row r="283" spans="10:10" x14ac:dyDescent="0.25">
      <c r="J283" s="68"/>
    </row>
    <row r="284" spans="10:10" x14ac:dyDescent="0.25">
      <c r="J284" s="68"/>
    </row>
    <row r="285" spans="10:10" x14ac:dyDescent="0.25">
      <c r="J285" s="68"/>
    </row>
    <row r="286" spans="10:10" x14ac:dyDescent="0.25">
      <c r="J286" s="68"/>
    </row>
    <row r="287" spans="10:10" x14ac:dyDescent="0.25">
      <c r="J287" s="68"/>
    </row>
    <row r="288" spans="10:10" x14ac:dyDescent="0.25">
      <c r="J288" s="68"/>
    </row>
    <row r="289" spans="10:10" x14ac:dyDescent="0.25">
      <c r="J289" s="68"/>
    </row>
    <row r="290" spans="10:10" x14ac:dyDescent="0.25">
      <c r="J290" s="68"/>
    </row>
    <row r="291" spans="10:10" x14ac:dyDescent="0.25">
      <c r="J291" s="68"/>
    </row>
    <row r="292" spans="10:10" x14ac:dyDescent="0.25">
      <c r="J292" s="68"/>
    </row>
    <row r="293" spans="10:10" x14ac:dyDescent="0.25">
      <c r="J293" s="68"/>
    </row>
    <row r="294" spans="10:10" x14ac:dyDescent="0.25">
      <c r="J294" s="68"/>
    </row>
    <row r="295" spans="10:10" x14ac:dyDescent="0.25">
      <c r="J295" s="68"/>
    </row>
    <row r="296" spans="10:10" x14ac:dyDescent="0.25">
      <c r="J296" s="68"/>
    </row>
    <row r="297" spans="10:10" x14ac:dyDescent="0.25">
      <c r="J297" s="68"/>
    </row>
    <row r="298" spans="10:10" x14ac:dyDescent="0.25">
      <c r="J298" s="68"/>
    </row>
    <row r="299" spans="10:10" x14ac:dyDescent="0.25">
      <c r="J299" s="68"/>
    </row>
    <row r="300" spans="10:10" x14ac:dyDescent="0.25">
      <c r="J300" s="68"/>
    </row>
    <row r="301" spans="10:10" x14ac:dyDescent="0.25">
      <c r="J301" s="68"/>
    </row>
    <row r="302" spans="10:10" x14ac:dyDescent="0.25">
      <c r="J302" s="68"/>
    </row>
    <row r="303" spans="10:10" x14ac:dyDescent="0.25">
      <c r="J303" s="68"/>
    </row>
    <row r="304" spans="10:10" x14ac:dyDescent="0.25">
      <c r="J304" s="68"/>
    </row>
    <row r="305" spans="10:10" x14ac:dyDescent="0.25">
      <c r="J305" s="68"/>
    </row>
    <row r="306" spans="10:10" x14ac:dyDescent="0.25">
      <c r="J306" s="68"/>
    </row>
    <row r="307" spans="10:10" x14ac:dyDescent="0.25">
      <c r="J307" s="68"/>
    </row>
    <row r="308" spans="10:10" x14ac:dyDescent="0.25">
      <c r="J308" s="68"/>
    </row>
    <row r="309" spans="10:10" x14ac:dyDescent="0.25">
      <c r="J309" s="68"/>
    </row>
    <row r="310" spans="10:10" x14ac:dyDescent="0.25">
      <c r="J310" s="68"/>
    </row>
    <row r="311" spans="10:10" x14ac:dyDescent="0.25">
      <c r="J311" s="68"/>
    </row>
    <row r="312" spans="10:10" x14ac:dyDescent="0.25">
      <c r="J312" s="68"/>
    </row>
    <row r="313" spans="10:10" x14ac:dyDescent="0.25">
      <c r="J313" s="68"/>
    </row>
    <row r="314" spans="10:10" x14ac:dyDescent="0.25">
      <c r="J314" s="68"/>
    </row>
    <row r="315" spans="10:10" x14ac:dyDescent="0.25">
      <c r="J315" s="68"/>
    </row>
    <row r="316" spans="10:10" x14ac:dyDescent="0.25">
      <c r="J316" s="68"/>
    </row>
    <row r="317" spans="10:10" x14ac:dyDescent="0.25">
      <c r="J317" s="68"/>
    </row>
    <row r="318" spans="10:10" x14ac:dyDescent="0.25">
      <c r="J318" s="68"/>
    </row>
    <row r="319" spans="10:10" x14ac:dyDescent="0.25">
      <c r="J319" s="68"/>
    </row>
    <row r="320" spans="10:10" x14ac:dyDescent="0.25">
      <c r="J320" s="68"/>
    </row>
    <row r="321" spans="10:10" x14ac:dyDescent="0.25">
      <c r="J321" s="68"/>
    </row>
    <row r="322" spans="10:10" x14ac:dyDescent="0.25">
      <c r="J322" s="68"/>
    </row>
    <row r="323" spans="10:10" x14ac:dyDescent="0.25">
      <c r="J323" s="68"/>
    </row>
    <row r="324" spans="10:10" x14ac:dyDescent="0.25">
      <c r="J324" s="68"/>
    </row>
    <row r="325" spans="10:10" x14ac:dyDescent="0.25">
      <c r="J325" s="68"/>
    </row>
    <row r="326" spans="10:10" x14ac:dyDescent="0.25">
      <c r="J326" s="68"/>
    </row>
    <row r="327" spans="10:10" x14ac:dyDescent="0.25">
      <c r="J327" s="68"/>
    </row>
    <row r="328" spans="10:10" x14ac:dyDescent="0.25">
      <c r="J328" s="68"/>
    </row>
    <row r="329" spans="10:10" x14ac:dyDescent="0.25">
      <c r="J329" s="68"/>
    </row>
    <row r="330" spans="10:10" x14ac:dyDescent="0.25">
      <c r="J330" s="68"/>
    </row>
    <row r="331" spans="10:10" x14ac:dyDescent="0.25">
      <c r="J331" s="68"/>
    </row>
    <row r="332" spans="10:10" x14ac:dyDescent="0.25">
      <c r="J332" s="68"/>
    </row>
    <row r="333" spans="10:10" x14ac:dyDescent="0.25">
      <c r="J333" s="68"/>
    </row>
    <row r="334" spans="10:10" x14ac:dyDescent="0.25">
      <c r="J334" s="68"/>
    </row>
    <row r="335" spans="10:10" x14ac:dyDescent="0.25">
      <c r="J335" s="68"/>
    </row>
    <row r="336" spans="10:10" x14ac:dyDescent="0.25">
      <c r="J336" s="68"/>
    </row>
    <row r="337" spans="10:10" x14ac:dyDescent="0.25">
      <c r="J337" s="68"/>
    </row>
    <row r="338" spans="10:10" x14ac:dyDescent="0.25">
      <c r="J338" s="68"/>
    </row>
    <row r="339" spans="10:10" x14ac:dyDescent="0.25">
      <c r="J339" s="68"/>
    </row>
    <row r="340" spans="10:10" x14ac:dyDescent="0.25">
      <c r="J340" s="68"/>
    </row>
    <row r="341" spans="10:10" x14ac:dyDescent="0.25">
      <c r="J341" s="68"/>
    </row>
    <row r="342" spans="10:10" x14ac:dyDescent="0.25">
      <c r="J342" s="68"/>
    </row>
    <row r="343" spans="10:10" x14ac:dyDescent="0.25">
      <c r="J343" s="68"/>
    </row>
    <row r="344" spans="10:10" x14ac:dyDescent="0.25">
      <c r="J344" s="68"/>
    </row>
    <row r="345" spans="10:10" x14ac:dyDescent="0.25">
      <c r="J345" s="68"/>
    </row>
    <row r="346" spans="10:10" x14ac:dyDescent="0.25">
      <c r="J346" s="68"/>
    </row>
    <row r="347" spans="10:10" x14ac:dyDescent="0.25">
      <c r="J347" s="68"/>
    </row>
    <row r="348" spans="10:10" x14ac:dyDescent="0.25">
      <c r="J348" s="68"/>
    </row>
    <row r="349" spans="10:10" x14ac:dyDescent="0.25">
      <c r="J349" s="68"/>
    </row>
    <row r="350" spans="10:10" x14ac:dyDescent="0.25">
      <c r="J350" s="68"/>
    </row>
    <row r="351" spans="10:10" x14ac:dyDescent="0.25">
      <c r="J351" s="68"/>
    </row>
    <row r="352" spans="10:10" x14ac:dyDescent="0.25">
      <c r="J352" s="68"/>
    </row>
    <row r="353" spans="10:10" x14ac:dyDescent="0.25">
      <c r="J353" s="68"/>
    </row>
    <row r="354" spans="10:10" x14ac:dyDescent="0.25">
      <c r="J354" s="68"/>
    </row>
    <row r="355" spans="10:10" x14ac:dyDescent="0.25">
      <c r="J355" s="68"/>
    </row>
    <row r="356" spans="10:10" x14ac:dyDescent="0.25">
      <c r="J356" s="68"/>
    </row>
    <row r="357" spans="10:10" x14ac:dyDescent="0.25">
      <c r="J357" s="68"/>
    </row>
    <row r="358" spans="10:10" x14ac:dyDescent="0.25">
      <c r="J358" s="68"/>
    </row>
    <row r="359" spans="10:10" x14ac:dyDescent="0.25">
      <c r="J359" s="68"/>
    </row>
    <row r="360" spans="10:10" x14ac:dyDescent="0.25">
      <c r="J360" s="68"/>
    </row>
    <row r="361" spans="10:10" x14ac:dyDescent="0.25">
      <c r="J361" s="68"/>
    </row>
    <row r="362" spans="10:10" x14ac:dyDescent="0.25">
      <c r="J362" s="68"/>
    </row>
    <row r="363" spans="10:10" x14ac:dyDescent="0.25">
      <c r="J363" s="68"/>
    </row>
    <row r="364" spans="10:10" x14ac:dyDescent="0.25">
      <c r="J364" s="68"/>
    </row>
    <row r="365" spans="10:10" x14ac:dyDescent="0.25">
      <c r="J365" s="68"/>
    </row>
    <row r="366" spans="10:10" x14ac:dyDescent="0.25">
      <c r="J366" s="68"/>
    </row>
    <row r="367" spans="10:10" x14ac:dyDescent="0.25">
      <c r="J367" s="68"/>
    </row>
    <row r="368" spans="10:10" x14ac:dyDescent="0.25">
      <c r="J368" s="68"/>
    </row>
    <row r="369" spans="10:10" x14ac:dyDescent="0.25">
      <c r="J369" s="68"/>
    </row>
    <row r="370" spans="10:10" x14ac:dyDescent="0.25">
      <c r="J370" s="68"/>
    </row>
    <row r="371" spans="10:10" x14ac:dyDescent="0.25">
      <c r="J371" s="68"/>
    </row>
    <row r="372" spans="10:10" x14ac:dyDescent="0.25">
      <c r="J372" s="68"/>
    </row>
    <row r="373" spans="10:10" x14ac:dyDescent="0.25">
      <c r="J373" s="68"/>
    </row>
    <row r="374" spans="10:10" x14ac:dyDescent="0.25">
      <c r="J374" s="68"/>
    </row>
    <row r="375" spans="10:10" x14ac:dyDescent="0.25">
      <c r="J375" s="68"/>
    </row>
    <row r="376" spans="10:10" x14ac:dyDescent="0.25">
      <c r="J376" s="68"/>
    </row>
    <row r="377" spans="10:10" x14ac:dyDescent="0.25">
      <c r="J377" s="68"/>
    </row>
    <row r="378" spans="10:10" x14ac:dyDescent="0.25">
      <c r="J378" s="68"/>
    </row>
    <row r="379" spans="10:10" x14ac:dyDescent="0.25">
      <c r="J379" s="68"/>
    </row>
    <row r="380" spans="10:10" x14ac:dyDescent="0.25">
      <c r="J380" s="68"/>
    </row>
    <row r="381" spans="10:10" x14ac:dyDescent="0.25">
      <c r="J381" s="68"/>
    </row>
    <row r="382" spans="10:10" x14ac:dyDescent="0.25">
      <c r="J382" s="68"/>
    </row>
    <row r="383" spans="10:10" x14ac:dyDescent="0.25">
      <c r="J383" s="68"/>
    </row>
    <row r="384" spans="10:10" x14ac:dyDescent="0.25">
      <c r="J384" s="68"/>
    </row>
    <row r="385" spans="10:10" x14ac:dyDescent="0.25">
      <c r="J385" s="68"/>
    </row>
    <row r="386" spans="10:10" x14ac:dyDescent="0.25">
      <c r="J386" s="68"/>
    </row>
    <row r="387" spans="10:10" x14ac:dyDescent="0.25">
      <c r="J387" s="68"/>
    </row>
    <row r="388" spans="10:10" x14ac:dyDescent="0.25">
      <c r="J388" s="68"/>
    </row>
    <row r="389" spans="10:10" x14ac:dyDescent="0.25">
      <c r="J389" s="68"/>
    </row>
    <row r="390" spans="10:10" x14ac:dyDescent="0.25">
      <c r="J390" s="68"/>
    </row>
    <row r="391" spans="10:10" x14ac:dyDescent="0.25">
      <c r="J391" s="68"/>
    </row>
    <row r="392" spans="10:10" x14ac:dyDescent="0.25">
      <c r="J392" s="68"/>
    </row>
    <row r="393" spans="10:10" x14ac:dyDescent="0.25">
      <c r="J393" s="68"/>
    </row>
    <row r="394" spans="10:10" x14ac:dyDescent="0.25">
      <c r="J394" s="68"/>
    </row>
    <row r="395" spans="10:10" x14ac:dyDescent="0.25">
      <c r="J395" s="68"/>
    </row>
    <row r="396" spans="10:10" x14ac:dyDescent="0.25">
      <c r="J396" s="68"/>
    </row>
    <row r="397" spans="10:10" x14ac:dyDescent="0.25">
      <c r="J397" s="68"/>
    </row>
    <row r="398" spans="10:10" x14ac:dyDescent="0.25">
      <c r="J398" s="68"/>
    </row>
    <row r="399" spans="10:10" x14ac:dyDescent="0.25">
      <c r="J399" s="68"/>
    </row>
    <row r="400" spans="10:10" x14ac:dyDescent="0.25">
      <c r="J400" s="68"/>
    </row>
  </sheetData>
  <mergeCells count="4">
    <mergeCell ref="A7:G7"/>
    <mergeCell ref="C20:D20"/>
    <mergeCell ref="C22:G22"/>
    <mergeCell ref="C31:D31"/>
  </mergeCells>
  <conditionalFormatting sqref="C9">
    <cfRule type="expression" dxfId="9" priority="2">
      <formula>$C$9="pas de JA nommé"</formula>
    </cfRule>
  </conditionalFormatting>
  <conditionalFormatting sqref="C9:C11 E18 G18 C18:C20 F19:F20 C22 C28 G30">
    <cfRule type="expression" dxfId="8" priority="1">
      <formula>"non(estformule(C9)"</formula>
    </cfRule>
  </conditionalFormatting>
  <conditionalFormatting sqref="L5">
    <cfRule type="dataBar" priority="4">
      <dataBar>
        <cfvo type="num" val="0"/>
        <cfvo type="num" val="1"/>
        <color rgb="FF53FB5F"/>
      </dataBar>
      <extLst>
        <ext xmlns:x14="http://schemas.microsoft.com/office/spreadsheetml/2009/9/main" uri="{B025F937-C7B1-47D3-B67F-A62EFF666E3E}">
          <x14:id>{1F385B17-5CC6-431E-A317-91ED784DC5ED}</x14:id>
        </ext>
      </extLst>
    </cfRule>
  </conditionalFormatting>
  <printOptions horizontalCentered="1" verticalCentered="1"/>
  <pageMargins left="0.15748031496062992" right="0.19685039370078741" top="0.47244094488188981" bottom="0.74803149606299213" header="0.15748031496062992" footer="0.31496062992125984"/>
  <pageSetup paperSize="9" orientation="portrait" horizontalDpi="4294967292" r:id="rId1"/>
  <headerFooter>
    <oddHeader>&amp;L&amp;A</oddHeader>
    <oddFooter>&amp;R&amp;D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385B17-5CC6-431E-A317-91ED784DC5E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074A-433C-4339-85C3-73546DA609C3}">
  <sheetPr codeName="Feuil6"/>
  <dimension ref="A1:Y105"/>
  <sheetViews>
    <sheetView tabSelected="1" workbookViewId="0">
      <selection activeCell="B1" sqref="B1"/>
    </sheetView>
  </sheetViews>
  <sheetFormatPr baseColWidth="10" defaultRowHeight="15" x14ac:dyDescent="0.25"/>
  <cols>
    <col min="1" max="1" width="9" bestFit="1" customWidth="1"/>
    <col min="2" max="2" width="31.7109375" bestFit="1" customWidth="1"/>
    <col min="3" max="3" width="6.85546875" bestFit="1" customWidth="1"/>
    <col min="4" max="6" width="5.42578125" bestFit="1" customWidth="1"/>
    <col min="7" max="11" width="5.28515625" bestFit="1" customWidth="1"/>
    <col min="12" max="12" width="5.140625" customWidth="1"/>
    <col min="13" max="15" width="4.5703125" customWidth="1"/>
    <col min="16" max="16" width="5.7109375" customWidth="1"/>
    <col min="18" max="18" width="10.7109375" customWidth="1"/>
    <col min="19" max="19" width="29" bestFit="1" customWidth="1"/>
    <col min="20" max="20" width="5.42578125" style="113" bestFit="1" customWidth="1"/>
    <col min="21" max="21" width="13.28515625" style="113" customWidth="1"/>
    <col min="22" max="22" width="7.5703125" style="106" bestFit="1" customWidth="1"/>
    <col min="23" max="25" width="9.140625" style="106" customWidth="1"/>
  </cols>
  <sheetData>
    <row r="1" spans="1:25" x14ac:dyDescent="0.25">
      <c r="A1" t="s">
        <v>4131</v>
      </c>
      <c r="B1" t="s">
        <v>4132</v>
      </c>
      <c r="M1" t="s">
        <v>4133</v>
      </c>
      <c r="N1" t="s">
        <v>2555</v>
      </c>
      <c r="O1" t="s">
        <v>4134</v>
      </c>
      <c r="P1" t="s">
        <v>4135</v>
      </c>
      <c r="R1" s="106" t="s">
        <v>4140</v>
      </c>
      <c r="S1" s="106" t="s">
        <v>4136</v>
      </c>
      <c r="T1" s="106" t="s">
        <v>2755</v>
      </c>
      <c r="U1" s="114" t="s">
        <v>4137</v>
      </c>
      <c r="V1" s="106" t="s">
        <v>4141</v>
      </c>
      <c r="W1" s="106" t="s">
        <v>4138</v>
      </c>
      <c r="X1" s="106" t="s">
        <v>22</v>
      </c>
      <c r="Y1" s="106" t="s">
        <v>4139</v>
      </c>
    </row>
    <row r="2" spans="1:25" x14ac:dyDescent="0.25">
      <c r="A2" t="str" cm="1">
        <f t="array" ref="A2:A26">_xlfn._xlws.SORT(_xlfn.UNIQUE(_xlfn._xlws.FILTER(Rencontres_N3_PN_Rx[Num_club],Rencontres_N3_PN_Rx[Division]&lt;&gt;"")))</f>
        <v>09500003</v>
      </c>
      <c r="B2" t="str">
        <f>_xlfn.XLOOKUP(A2,Rencontres_N3_PN_Rx[Num_club],Rencontres_N3_PN_Rx[Equipe 1],,0)</f>
        <v>SAINT LO PL 1</v>
      </c>
      <c r="C2" t="str" cm="1">
        <f t="array" ref="C2:D2">TRANSPOSE(_xlfn._xlws.SORT(_xlfn.UNIQUE(_xlfn._xlws.FILTER(Rencontres_N3_PN_Rx[Division]&amp;" "&amp;Rencontres_N3_PN_Rx[Genre],Rencontres_N3_PN_Rx[Num_club]=A2))))</f>
        <v>R1 M</v>
      </c>
      <c r="D2" t="str">
        <v>R3 M</v>
      </c>
      <c r="M2">
        <f>COUNTIF(C2:K2,"N"&amp;"*")</f>
        <v>0</v>
      </c>
      <c r="N2">
        <f>COUNTIF(C2:K2,"PN"&amp;"*")</f>
        <v>0</v>
      </c>
      <c r="O2">
        <f>COUNTIF(C2:K2,"R"&amp;"*")</f>
        <v>2</v>
      </c>
      <c r="P2">
        <f>SUM(M2:O2)</f>
        <v>2</v>
      </c>
      <c r="R2" t="str" cm="1">
        <f t="array" ref="R2:Y105">_xlfn._xlws.SORT(_xlfn._xlws.FILTER(CHOOSE({1,2,3,4,5,6,7,8},Rencontres_N3_PN_Rx[Num_club],Rencontres_N3_PN_Rx[Equipe 1],Rencontres_N3_PN_Rx[Division]&amp;" "&amp;Rencontres_N3_PN_Rx[Genre],Rencontres_N3_PN_Rx[Date_rencontre],Rencontres_N3_PN_Rx[JA à nommer],Rencontres_N3_PN_Rx[Peages],Rencontres_N3_PN_Rx[KM_JA],Rencontres_N3_PN_Rx[Frais_JA]),(Rencontres_N3_PN_Rx[JA à nommer]="OUI")*(Rencontres_N3_PN_Rx[Nom Prenom JA]&lt;&gt;"")))</f>
        <v>09500003</v>
      </c>
      <c r="S2" t="str">
        <v>SAINT LO PL 1</v>
      </c>
      <c r="T2" s="113" t="str">
        <v>R1 M</v>
      </c>
      <c r="U2" s="113">
        <v>45927</v>
      </c>
      <c r="V2" s="106" t="str">
        <v>OUI</v>
      </c>
      <c r="W2" s="106">
        <v>0</v>
      </c>
      <c r="X2" s="106">
        <v>18</v>
      </c>
      <c r="Y2" s="106">
        <v>30.4</v>
      </c>
    </row>
    <row r="3" spans="1:25" x14ac:dyDescent="0.25">
      <c r="A3" t="str">
        <v>09500009</v>
      </c>
      <c r="B3" t="str">
        <f>_xlfn.XLOOKUP(A3,Rencontres_N3_PN_Rx[Num_club],Rencontres_N3_PN_Rx[Equipe 1],,0)</f>
        <v>CHERBOURG US 1</v>
      </c>
      <c r="C3" t="str" cm="1">
        <f t="array" ref="C3:E3">TRANSPOSE(_xlfn._xlws.SORT(_xlfn.UNIQUE(_xlfn._xlws.FILTER(Rencontres_N3_PN_Rx[Division]&amp;" "&amp;Rencontres_N3_PN_Rx[Genre],Rencontres_N3_PN_Rx[Num_club]=A3))))</f>
        <v>R2 M</v>
      </c>
      <c r="D3" t="str">
        <v>R3 M</v>
      </c>
      <c r="E3" t="str">
        <v>R4 M</v>
      </c>
      <c r="M3">
        <f t="shared" ref="M3:M26" si="0">COUNTIF(C3:K3,"N"&amp;"*")</f>
        <v>0</v>
      </c>
      <c r="N3">
        <f t="shared" ref="N3:N26" si="1">COUNTIF(C3:K3,"PN"&amp;"*")</f>
        <v>0</v>
      </c>
      <c r="O3">
        <f t="shared" ref="O3:O26" si="2">COUNTIF(C3:K3,"R"&amp;"*")</f>
        <v>3</v>
      </c>
      <c r="P3">
        <f t="shared" ref="P3:P26" si="3">SUM(M3:O3)</f>
        <v>3</v>
      </c>
      <c r="R3" t="str">
        <v>09500003</v>
      </c>
      <c r="S3" t="str">
        <v>SAINT LO PL 1</v>
      </c>
      <c r="T3" s="113" t="str">
        <v>R1 M</v>
      </c>
      <c r="U3" s="113">
        <v>45976</v>
      </c>
      <c r="V3" s="106" t="str">
        <v>OUI</v>
      </c>
      <c r="W3" s="106">
        <v>0</v>
      </c>
      <c r="X3" s="106">
        <v>30</v>
      </c>
      <c r="Y3" s="106">
        <v>34</v>
      </c>
    </row>
    <row r="4" spans="1:25" x14ac:dyDescent="0.25">
      <c r="A4" t="str">
        <v>09500011</v>
      </c>
      <c r="B4" t="str">
        <f>_xlfn.XLOOKUP(A4,Rencontres_N3_PN_Rx[Num_club],Rencontres_N3_PN_Rx[Equipe 1],,0)</f>
        <v>BRICQUEBEC UC  1</v>
      </c>
      <c r="C4" t="str" cm="1">
        <f t="array" ref="C4">TRANSPOSE(_xlfn._xlws.SORT(_xlfn.UNIQUE(_xlfn._xlws.FILTER(Rencontres_N3_PN_Rx[Division]&amp;" "&amp;Rencontres_N3_PN_Rx[Genre],Rencontres_N3_PN_Rx[Num_club]=A4))))</f>
        <v>R4 M</v>
      </c>
      <c r="M4">
        <f t="shared" si="0"/>
        <v>0</v>
      </c>
      <c r="N4">
        <f t="shared" si="1"/>
        <v>0</v>
      </c>
      <c r="O4">
        <f t="shared" si="2"/>
        <v>1</v>
      </c>
      <c r="P4">
        <f t="shared" si="3"/>
        <v>1</v>
      </c>
      <c r="R4" t="str">
        <v>09500003</v>
      </c>
      <c r="S4" t="str">
        <v>SAINT LO PL 1</v>
      </c>
      <c r="T4" s="113" t="str">
        <v>R1 M</v>
      </c>
      <c r="U4" s="113">
        <v>46004</v>
      </c>
      <c r="V4" s="106" t="str">
        <v>OUI</v>
      </c>
      <c r="W4" s="106">
        <v>0</v>
      </c>
      <c r="X4" s="106">
        <v>30</v>
      </c>
      <c r="Y4" s="106">
        <v>34</v>
      </c>
    </row>
    <row r="5" spans="1:25" x14ac:dyDescent="0.25">
      <c r="A5" t="str">
        <v>09500012</v>
      </c>
      <c r="B5" t="str">
        <f>_xlfn.XLOOKUP(A5,Rencontres_N3_PN_Rx[Num_club],Rencontres_N3_PN_Rx[Equipe 1],,0)</f>
        <v>EQUEURDREVILLE 1</v>
      </c>
      <c r="C5" t="str" cm="1">
        <f t="array" ref="C5:E5">TRANSPOSE(_xlfn._xlws.SORT(_xlfn.UNIQUE(_xlfn._xlws.FILTER(Rencontres_N3_PN_Rx[Division]&amp;" "&amp;Rencontres_N3_PN_Rx[Genre],Rencontres_N3_PN_Rx[Num_club]=A5))))</f>
        <v>R1 M</v>
      </c>
      <c r="D5" t="str">
        <v>R3 M</v>
      </c>
      <c r="E5" t="str">
        <v>R4 M</v>
      </c>
      <c r="M5">
        <f t="shared" si="0"/>
        <v>0</v>
      </c>
      <c r="N5">
        <f t="shared" si="1"/>
        <v>0</v>
      </c>
      <c r="O5">
        <f t="shared" si="2"/>
        <v>3</v>
      </c>
      <c r="P5">
        <f t="shared" si="3"/>
        <v>3</v>
      </c>
      <c r="R5" t="str">
        <v>09500009</v>
      </c>
      <c r="S5" t="str">
        <v>CHERBOURG US 1</v>
      </c>
      <c r="T5" s="113" t="str">
        <v>R2 M</v>
      </c>
      <c r="U5" s="113">
        <v>45920</v>
      </c>
      <c r="V5" s="106" t="str">
        <v>OUI</v>
      </c>
      <c r="W5" s="106">
        <v>0</v>
      </c>
      <c r="X5" s="106">
        <v>12.6</v>
      </c>
      <c r="Y5" s="106">
        <v>28.78</v>
      </c>
    </row>
    <row r="6" spans="1:25" x14ac:dyDescent="0.25">
      <c r="A6" t="str">
        <v>09500013</v>
      </c>
      <c r="B6" t="str">
        <f>_xlfn.XLOOKUP(A6,Rencontres_N3_PN_Rx[Num_club],Rencontres_N3_PN_Rx[Equipe 1],,0)</f>
        <v>COUTANCES JA 2</v>
      </c>
      <c r="C6" t="str" cm="1">
        <f t="array" ref="C6:F6">TRANSPOSE(_xlfn._xlws.SORT(_xlfn.UNIQUE(_xlfn._xlws.FILTER(Rencontres_N3_PN_Rx[Division]&amp;" "&amp;Rencontres_N3_PN_Rx[Genre],Rencontres_N3_PN_Rx[Num_club]=A6))))</f>
        <v>N2 F</v>
      </c>
      <c r="D6" t="str">
        <v>R1 M</v>
      </c>
      <c r="E6" t="str">
        <v>R2 M</v>
      </c>
      <c r="F6" t="str">
        <v>R3 M</v>
      </c>
      <c r="M6">
        <f t="shared" si="0"/>
        <v>1</v>
      </c>
      <c r="N6">
        <f t="shared" si="1"/>
        <v>0</v>
      </c>
      <c r="O6">
        <f t="shared" si="2"/>
        <v>3</v>
      </c>
      <c r="P6">
        <f t="shared" si="3"/>
        <v>4</v>
      </c>
      <c r="R6" t="str">
        <v>09500009</v>
      </c>
      <c r="S6" t="str">
        <v>CHERBOURG US 2</v>
      </c>
      <c r="T6" s="113" t="str">
        <v>R3 M</v>
      </c>
      <c r="U6" s="113">
        <v>45920</v>
      </c>
      <c r="V6" s="106" t="str">
        <v>OUI</v>
      </c>
      <c r="W6" s="106">
        <v>0</v>
      </c>
      <c r="X6" s="106">
        <v>12.6</v>
      </c>
      <c r="Y6" s="106">
        <v>28.78</v>
      </c>
    </row>
    <row r="7" spans="1:25" x14ac:dyDescent="0.25">
      <c r="A7" t="str">
        <v>09500015</v>
      </c>
      <c r="B7" t="str">
        <f>_xlfn.XLOOKUP(A7,Rencontres_N3_PN_Rx[Num_club],Rencontres_N3_PN_Rx[Equipe 1],,0)</f>
        <v>MONTEBOURG SAEL 1</v>
      </c>
      <c r="C7" t="str" cm="1">
        <f t="array" ref="C7">TRANSPOSE(_xlfn._xlws.SORT(_xlfn.UNIQUE(_xlfn._xlws.FILTER(Rencontres_N3_PN_Rx[Division]&amp;" "&amp;Rencontres_N3_PN_Rx[Genre],Rencontres_N3_PN_Rx[Num_club]=A7))))</f>
        <v>R4 M</v>
      </c>
      <c r="M7">
        <f t="shared" si="0"/>
        <v>0</v>
      </c>
      <c r="N7">
        <f t="shared" si="1"/>
        <v>0</v>
      </c>
      <c r="O7">
        <f t="shared" si="2"/>
        <v>1</v>
      </c>
      <c r="P7">
        <f t="shared" si="3"/>
        <v>1</v>
      </c>
      <c r="R7" t="str">
        <v>09500009</v>
      </c>
      <c r="S7" t="str">
        <v>CHERBOURG US  3</v>
      </c>
      <c r="T7" s="113" t="str">
        <v>R4 M</v>
      </c>
      <c r="U7" s="113">
        <v>45927</v>
      </c>
      <c r="V7" s="106" t="str">
        <v>OUI</v>
      </c>
      <c r="W7" s="106">
        <v>0</v>
      </c>
      <c r="X7" s="106">
        <v>12.6</v>
      </c>
      <c r="Y7" s="106">
        <v>28.78</v>
      </c>
    </row>
    <row r="8" spans="1:25" x14ac:dyDescent="0.25">
      <c r="A8" t="str">
        <v>09500022</v>
      </c>
      <c r="B8" t="str">
        <f>_xlfn.XLOOKUP(A8,Rencontres_N3_PN_Rx[Num_club],Rencontres_N3_PN_Rx[Equipe 1],,0)</f>
        <v>OC AGNEAUX  1</v>
      </c>
      <c r="C8" t="str" cm="1">
        <f t="array" ref="C8:D8">TRANSPOSE(_xlfn._xlws.SORT(_xlfn.UNIQUE(_xlfn._xlws.FILTER(Rencontres_N3_PN_Rx[Division]&amp;" "&amp;Rencontres_N3_PN_Rx[Genre],Rencontres_N3_PN_Rx[Num_club]=A8))))</f>
        <v>R1 M</v>
      </c>
      <c r="D8" t="str">
        <v>R3 M</v>
      </c>
      <c r="M8">
        <f t="shared" si="0"/>
        <v>0</v>
      </c>
      <c r="N8">
        <f t="shared" si="1"/>
        <v>0</v>
      </c>
      <c r="O8">
        <f t="shared" si="2"/>
        <v>2</v>
      </c>
      <c r="P8">
        <f t="shared" si="3"/>
        <v>2</v>
      </c>
      <c r="R8" t="str">
        <v>09500009</v>
      </c>
      <c r="S8" t="str">
        <v>CHERBOURG US 1</v>
      </c>
      <c r="T8" s="113" t="str">
        <v>R2 M</v>
      </c>
      <c r="U8" s="113">
        <v>45941</v>
      </c>
      <c r="V8" s="106" t="str">
        <v>OUI</v>
      </c>
      <c r="W8" s="106">
        <v>0</v>
      </c>
      <c r="X8" s="106">
        <v>0</v>
      </c>
      <c r="Y8" s="106">
        <v>25</v>
      </c>
    </row>
    <row r="9" spans="1:25" x14ac:dyDescent="0.25">
      <c r="A9" t="str">
        <v>09500025</v>
      </c>
      <c r="B9" t="str">
        <f>_xlfn.XLOOKUP(A9,Rencontres_N3_PN_Rx[Num_club],Rencontres_N3_PN_Rx[Equipe 1],,0)</f>
        <v>ISIGNY-MONTIGNY 1</v>
      </c>
      <c r="C9" t="str" cm="1">
        <f t="array" ref="C9">TRANSPOSE(_xlfn._xlws.SORT(_xlfn.UNIQUE(_xlfn._xlws.FILTER(Rencontres_N3_PN_Rx[Division]&amp;" "&amp;Rencontres_N3_PN_Rx[Genre],Rencontres_N3_PN_Rx[Num_club]=A9))))</f>
        <v>R3 M</v>
      </c>
      <c r="M9">
        <f t="shared" si="0"/>
        <v>0</v>
      </c>
      <c r="N9">
        <f t="shared" si="1"/>
        <v>0</v>
      </c>
      <c r="O9">
        <f t="shared" si="2"/>
        <v>1</v>
      </c>
      <c r="P9">
        <f t="shared" si="3"/>
        <v>1</v>
      </c>
      <c r="R9" t="str">
        <v>09500009</v>
      </c>
      <c r="S9" t="str">
        <v>CHERBOURG US 2</v>
      </c>
      <c r="T9" s="113" t="str">
        <v>R3 M</v>
      </c>
      <c r="U9" s="113">
        <v>45941</v>
      </c>
      <c r="V9" s="106" t="str">
        <v>OUI</v>
      </c>
      <c r="W9" s="106">
        <v>0</v>
      </c>
      <c r="X9" s="106">
        <v>0</v>
      </c>
      <c r="Y9" s="106">
        <v>25</v>
      </c>
    </row>
    <row r="10" spans="1:25" x14ac:dyDescent="0.25">
      <c r="A10" t="str">
        <v>09500027</v>
      </c>
      <c r="B10" t="str">
        <f>_xlfn.XLOOKUP(A10,Rencontres_N3_PN_Rx[Num_club],Rencontres_N3_PN_Rx[Equipe 1],,0)</f>
        <v>CARANTILLAISE 1</v>
      </c>
      <c r="C10" t="str" cm="1">
        <f t="array" ref="C10">TRANSPOSE(_xlfn._xlws.SORT(_xlfn.UNIQUE(_xlfn._xlws.FILTER(Rencontres_N3_PN_Rx[Division]&amp;" "&amp;Rencontres_N3_PN_Rx[Genre],Rencontres_N3_PN_Rx[Num_club]=A10))))</f>
        <v>R3 M</v>
      </c>
      <c r="M10">
        <f t="shared" si="0"/>
        <v>0</v>
      </c>
      <c r="N10">
        <f t="shared" si="1"/>
        <v>0</v>
      </c>
      <c r="O10">
        <f t="shared" si="2"/>
        <v>1</v>
      </c>
      <c r="P10">
        <f t="shared" si="3"/>
        <v>1</v>
      </c>
      <c r="R10" t="str">
        <v>09500009</v>
      </c>
      <c r="S10" t="str">
        <v>CHERBOURG US  3</v>
      </c>
      <c r="T10" s="113" t="str">
        <v>R4 M</v>
      </c>
      <c r="U10" s="113">
        <v>45976</v>
      </c>
      <c r="V10" s="106" t="str">
        <v>OUI</v>
      </c>
      <c r="W10" s="106">
        <v>0</v>
      </c>
      <c r="X10" s="106">
        <v>40</v>
      </c>
      <c r="Y10" s="106">
        <v>37</v>
      </c>
    </row>
    <row r="11" spans="1:25" x14ac:dyDescent="0.25">
      <c r="A11" t="str">
        <v>09500030</v>
      </c>
      <c r="B11" t="str">
        <f>_xlfn.XLOOKUP(A11,Rencontres_N3_PN_Rx[Num_club],Rencontres_N3_PN_Rx[Equipe 1],,0)</f>
        <v>CHERBOURG ASTT 1</v>
      </c>
      <c r="C11" t="str" cm="1">
        <f t="array" ref="C11:D11">TRANSPOSE(_xlfn._xlws.SORT(_xlfn.UNIQUE(_xlfn._xlws.FILTER(Rencontres_N3_PN_Rx[Division]&amp;" "&amp;Rencontres_N3_PN_Rx[Genre],Rencontres_N3_PN_Rx[Num_club]=A11))))</f>
        <v>R2 M</v>
      </c>
      <c r="D11" t="str">
        <v>R4 M</v>
      </c>
      <c r="M11">
        <f t="shared" si="0"/>
        <v>0</v>
      </c>
      <c r="N11">
        <f t="shared" si="1"/>
        <v>0</v>
      </c>
      <c r="O11">
        <f t="shared" si="2"/>
        <v>2</v>
      </c>
      <c r="P11">
        <f t="shared" si="3"/>
        <v>2</v>
      </c>
      <c r="R11" t="str">
        <v>09500009</v>
      </c>
      <c r="S11" t="str">
        <v>CHERBOURG US 1</v>
      </c>
      <c r="T11" s="113" t="str">
        <v>R2 M</v>
      </c>
      <c r="U11" s="113">
        <v>45990</v>
      </c>
      <c r="V11" s="106" t="str">
        <v>OUI</v>
      </c>
      <c r="W11" s="106">
        <v>0</v>
      </c>
      <c r="X11" s="106">
        <v>30.5</v>
      </c>
      <c r="Y11" s="106">
        <v>34.15</v>
      </c>
    </row>
    <row r="12" spans="1:25" x14ac:dyDescent="0.25">
      <c r="A12" t="str">
        <v>09500048</v>
      </c>
      <c r="B12" t="str">
        <f>_xlfn.XLOOKUP(A12,Rencontres_N3_PN_Rx[Num_club],Rencontres_N3_PN_Rx[Equipe 1],,0)</f>
        <v>SAINT JAMES TT 1</v>
      </c>
      <c r="C12" t="str" cm="1">
        <f t="array" ref="C12:F12">TRANSPOSE(_xlfn._xlws.SORT(_xlfn.UNIQUE(_xlfn._xlws.FILTER(Rencontres_N3_PN_Rx[Division]&amp;" "&amp;Rencontres_N3_PN_Rx[Genre],Rencontres_N3_PN_Rx[Num_club]=A12))))</f>
        <v>N3 M</v>
      </c>
      <c r="D12" t="str">
        <v>R1 M</v>
      </c>
      <c r="E12" t="str">
        <v>R2 M</v>
      </c>
      <c r="F12" t="str">
        <v>R4 M</v>
      </c>
      <c r="M12">
        <f t="shared" si="0"/>
        <v>1</v>
      </c>
      <c r="N12">
        <f t="shared" si="1"/>
        <v>0</v>
      </c>
      <c r="O12">
        <f t="shared" si="2"/>
        <v>3</v>
      </c>
      <c r="P12">
        <f t="shared" si="3"/>
        <v>4</v>
      </c>
      <c r="R12" t="str">
        <v>09500009</v>
      </c>
      <c r="S12" t="str">
        <v>CHERBOURG US 2</v>
      </c>
      <c r="T12" s="113" t="str">
        <v>R3 M</v>
      </c>
      <c r="U12" s="113">
        <v>45990</v>
      </c>
      <c r="V12" s="106" t="str">
        <v>OUI</v>
      </c>
      <c r="W12" s="106">
        <v>0</v>
      </c>
      <c r="X12" s="106">
        <v>30.5</v>
      </c>
      <c r="Y12" s="106">
        <v>34.15</v>
      </c>
    </row>
    <row r="13" spans="1:25" x14ac:dyDescent="0.25">
      <c r="A13" t="str">
        <v>09500053</v>
      </c>
      <c r="B13" t="str">
        <f>_xlfn.XLOOKUP(A13,Rencontres_N3_PN_Rx[Num_club],Rencontres_N3_PN_Rx[Equipe 1],,0)</f>
        <v>ST JEAN CHAMPS 1</v>
      </c>
      <c r="C13" t="str" cm="1">
        <f t="array" ref="C13">TRANSPOSE(_xlfn._xlws.SORT(_xlfn.UNIQUE(_xlfn._xlws.FILTER(Rencontres_N3_PN_Rx[Division]&amp;" "&amp;Rencontres_N3_PN_Rx[Genre],Rencontres_N3_PN_Rx[Num_club]=A13))))</f>
        <v>R2 M</v>
      </c>
      <c r="M13">
        <f t="shared" si="0"/>
        <v>0</v>
      </c>
      <c r="N13">
        <f t="shared" si="1"/>
        <v>0</v>
      </c>
      <c r="O13">
        <f t="shared" si="2"/>
        <v>1</v>
      </c>
      <c r="P13">
        <f t="shared" si="3"/>
        <v>1</v>
      </c>
      <c r="R13" t="str">
        <v>09500009</v>
      </c>
      <c r="S13" t="str">
        <v>CHERBOURG US  3</v>
      </c>
      <c r="T13" s="113" t="str">
        <v>R4 M</v>
      </c>
      <c r="U13" s="113">
        <v>46004</v>
      </c>
      <c r="V13" s="106" t="str">
        <v>OUI</v>
      </c>
      <c r="W13" s="106">
        <v>0</v>
      </c>
      <c r="X13" s="106">
        <v>45</v>
      </c>
      <c r="Y13" s="106">
        <v>38.5</v>
      </c>
    </row>
    <row r="14" spans="1:25" x14ac:dyDescent="0.25">
      <c r="A14" t="str">
        <v>09500058</v>
      </c>
      <c r="B14" t="str">
        <f>_xlfn.XLOOKUP(A14,Rencontres_N3_PN_Rx[Num_club],Rencontres_N3_PN_Rx[Equipe 1],,0)</f>
        <v>CARENTANAIS CL 1</v>
      </c>
      <c r="C14" t="str" cm="1">
        <f t="array" ref="C14">TRANSPOSE(_xlfn._xlws.SORT(_xlfn.UNIQUE(_xlfn._xlws.FILTER(Rencontres_N3_PN_Rx[Division]&amp;" "&amp;Rencontres_N3_PN_Rx[Genre],Rencontres_N3_PN_Rx[Num_club]=A14))))</f>
        <v>R4 M</v>
      </c>
      <c r="M14">
        <f t="shared" si="0"/>
        <v>0</v>
      </c>
      <c r="N14">
        <f t="shared" si="1"/>
        <v>0</v>
      </c>
      <c r="O14">
        <f t="shared" si="2"/>
        <v>1</v>
      </c>
      <c r="P14">
        <f t="shared" si="3"/>
        <v>1</v>
      </c>
      <c r="R14" t="str">
        <v>09500009</v>
      </c>
      <c r="S14" t="str">
        <v>CHERBOURG US 1</v>
      </c>
      <c r="T14" s="113" t="str">
        <v>R2 M</v>
      </c>
      <c r="U14" s="113">
        <v>46032</v>
      </c>
      <c r="V14" s="106" t="str">
        <v>OUI</v>
      </c>
      <c r="W14" s="106">
        <v>0</v>
      </c>
      <c r="X14" s="106">
        <v>0</v>
      </c>
      <c r="Y14" s="106">
        <v>25</v>
      </c>
    </row>
    <row r="15" spans="1:25" x14ac:dyDescent="0.25">
      <c r="A15" t="str">
        <v>09500059</v>
      </c>
      <c r="B15" t="str">
        <f>_xlfn.XLOOKUP(A15,Rencontres_N3_PN_Rx[Num_club],Rencontres_N3_PN_Rx[Equipe 1],,0)</f>
        <v>ATT DUCEY AVRANCHES 1</v>
      </c>
      <c r="C15" t="str" cm="1">
        <f t="array" ref="C15:D15">TRANSPOSE(_xlfn._xlws.SORT(_xlfn.UNIQUE(_xlfn._xlws.FILTER(Rencontres_N3_PN_Rx[Division]&amp;" "&amp;Rencontres_N3_PN_Rx[Genre],Rencontres_N3_PN_Rx[Num_club]=A15))))</f>
        <v>R3 M</v>
      </c>
      <c r="D15" t="str">
        <v>R4 M</v>
      </c>
      <c r="M15">
        <f t="shared" si="0"/>
        <v>0</v>
      </c>
      <c r="N15">
        <f t="shared" si="1"/>
        <v>0</v>
      </c>
      <c r="O15">
        <f t="shared" si="2"/>
        <v>2</v>
      </c>
      <c r="P15">
        <f t="shared" si="3"/>
        <v>2</v>
      </c>
      <c r="R15" t="str">
        <v>09500009</v>
      </c>
      <c r="S15" t="str">
        <v>CHERBOURG US 2</v>
      </c>
      <c r="T15" s="113" t="str">
        <v>R3 M</v>
      </c>
      <c r="U15" s="113">
        <v>46032</v>
      </c>
      <c r="V15" s="106" t="str">
        <v>OUI</v>
      </c>
      <c r="W15" s="106">
        <v>0</v>
      </c>
      <c r="X15" s="106">
        <v>0</v>
      </c>
      <c r="Y15" s="106">
        <v>25</v>
      </c>
    </row>
    <row r="16" spans="1:25" x14ac:dyDescent="0.25">
      <c r="A16" t="str">
        <v>09500063</v>
      </c>
      <c r="B16" t="str">
        <f>_xlfn.XLOOKUP(A16,Rencontres_N3_PN_Rx[Num_club],Rencontres_N3_PN_Rx[Equipe 1],,0)</f>
        <v>DONVILLE USM 1</v>
      </c>
      <c r="C16" t="str" cm="1">
        <f t="array" ref="C16">TRANSPOSE(_xlfn._xlws.SORT(_xlfn.UNIQUE(_xlfn._xlws.FILTER(Rencontres_N3_PN_Rx[Division]&amp;" "&amp;Rencontres_N3_PN_Rx[Genre],Rencontres_N3_PN_Rx[Num_club]=A16))))</f>
        <v>R3 M</v>
      </c>
      <c r="M16">
        <f t="shared" si="0"/>
        <v>0</v>
      </c>
      <c r="N16">
        <f t="shared" si="1"/>
        <v>0</v>
      </c>
      <c r="O16">
        <f t="shared" si="2"/>
        <v>1</v>
      </c>
      <c r="P16">
        <f t="shared" si="3"/>
        <v>1</v>
      </c>
      <c r="R16" t="str">
        <v>09500011</v>
      </c>
      <c r="S16" t="str">
        <v>BRICQUEBEC UC  1</v>
      </c>
      <c r="T16" s="113" t="str">
        <v>R4 M</v>
      </c>
      <c r="U16" s="113">
        <v>45976</v>
      </c>
      <c r="V16" s="106" t="str">
        <v>OUI</v>
      </c>
      <c r="W16" s="106">
        <v>0</v>
      </c>
      <c r="X16" s="106">
        <v>52</v>
      </c>
      <c r="Y16" s="106">
        <v>40.6</v>
      </c>
    </row>
    <row r="17" spans="1:25" x14ac:dyDescent="0.25">
      <c r="A17" t="str">
        <v>09500073</v>
      </c>
      <c r="B17" t="str">
        <f>_xlfn.XLOOKUP(A17,Rencontres_N3_PN_Rx[Num_club],Rencontres_N3_PN_Rx[Equipe 1],,0)</f>
        <v>TORIGNAISE ESTT 1</v>
      </c>
      <c r="C17" t="str" cm="1">
        <f t="array" ref="C17">TRANSPOSE(_xlfn._xlws.SORT(_xlfn.UNIQUE(_xlfn._xlws.FILTER(Rencontres_N3_PN_Rx[Division]&amp;" "&amp;Rencontres_N3_PN_Rx[Genre],Rencontres_N3_PN_Rx[Num_club]=A17))))</f>
        <v>R3 M</v>
      </c>
      <c r="M17">
        <f t="shared" si="0"/>
        <v>0</v>
      </c>
      <c r="N17">
        <f t="shared" si="1"/>
        <v>0</v>
      </c>
      <c r="O17">
        <f t="shared" si="2"/>
        <v>1</v>
      </c>
      <c r="P17">
        <f t="shared" si="3"/>
        <v>1</v>
      </c>
      <c r="R17" t="str">
        <v>09500011</v>
      </c>
      <c r="S17" t="str">
        <v>BRICQUEBEC UC  1</v>
      </c>
      <c r="T17" s="113" t="str">
        <v>R4 M</v>
      </c>
      <c r="U17" s="113">
        <v>46004</v>
      </c>
      <c r="V17" s="106" t="str">
        <v>OUI</v>
      </c>
      <c r="W17" s="106">
        <v>0</v>
      </c>
      <c r="X17" s="106">
        <v>52</v>
      </c>
      <c r="Y17" s="106">
        <v>40.6</v>
      </c>
    </row>
    <row r="18" spans="1:25" x14ac:dyDescent="0.25">
      <c r="A18" t="str">
        <v>09500093</v>
      </c>
      <c r="B18" t="str">
        <f>_xlfn.XLOOKUP(A18,Rencontres_N3_PN_Rx[Num_club],Rencontres_N3_PN_Rx[Equipe 1],,0)</f>
        <v>QUERQUEVILLE AS 1</v>
      </c>
      <c r="C18" t="str" cm="1">
        <f t="array" ref="C18:D18">TRANSPOSE(_xlfn._xlws.SORT(_xlfn.UNIQUE(_xlfn._xlws.FILTER(Rencontres_N3_PN_Rx[Division]&amp;" "&amp;Rencontres_N3_PN_Rx[Genre],Rencontres_N3_PN_Rx[Num_club]=A18))))</f>
        <v>R3 M</v>
      </c>
      <c r="D18" t="str">
        <v>R4 M</v>
      </c>
      <c r="M18">
        <f t="shared" si="0"/>
        <v>0</v>
      </c>
      <c r="N18">
        <f t="shared" si="1"/>
        <v>0</v>
      </c>
      <c r="O18">
        <f t="shared" si="2"/>
        <v>2</v>
      </c>
      <c r="P18">
        <f t="shared" si="3"/>
        <v>2</v>
      </c>
      <c r="R18" t="str">
        <v>09500012</v>
      </c>
      <c r="S18" t="str">
        <v>EQUEURDREVILLE 1</v>
      </c>
      <c r="T18" s="113" t="str">
        <v>R1 M</v>
      </c>
      <c r="U18" s="113">
        <v>45920</v>
      </c>
      <c r="V18" s="106" t="str">
        <v>OUI</v>
      </c>
      <c r="W18" s="106">
        <v>0</v>
      </c>
      <c r="X18" s="106">
        <v>18</v>
      </c>
      <c r="Y18" s="106">
        <v>30.4</v>
      </c>
    </row>
    <row r="19" spans="1:25" x14ac:dyDescent="0.25">
      <c r="A19" t="str">
        <v>09500112</v>
      </c>
      <c r="B19" t="str">
        <f>_xlfn.XLOOKUP(A19,Rencontres_N3_PN_Rx[Num_club],Rencontres_N3_PN_Rx[Equipe 1],,0)</f>
        <v>ST HILAIRE/PARIGNY 1</v>
      </c>
      <c r="C19" t="str" cm="1">
        <f t="array" ref="C19:E19">TRANSPOSE(_xlfn._xlws.SORT(_xlfn.UNIQUE(_xlfn._xlws.FILTER(Rencontres_N3_PN_Rx[Division]&amp;" "&amp;Rencontres_N3_PN_Rx[Genre],Rencontres_N3_PN_Rx[Num_club]=A19))))</f>
        <v>R1 M</v>
      </c>
      <c r="D19" t="str">
        <v>R2 M</v>
      </c>
      <c r="E19" t="str">
        <v>R4 M</v>
      </c>
      <c r="M19">
        <f t="shared" si="0"/>
        <v>0</v>
      </c>
      <c r="N19">
        <f t="shared" si="1"/>
        <v>0</v>
      </c>
      <c r="O19">
        <f t="shared" si="2"/>
        <v>3</v>
      </c>
      <c r="P19">
        <f t="shared" si="3"/>
        <v>3</v>
      </c>
      <c r="R19" t="str">
        <v>09500012</v>
      </c>
      <c r="S19" t="str">
        <v>EQUEURDREVILLE 1</v>
      </c>
      <c r="T19" s="113" t="str">
        <v>R1 M</v>
      </c>
      <c r="U19" s="113">
        <v>45976</v>
      </c>
      <c r="V19" s="106" t="str">
        <v>OUI</v>
      </c>
      <c r="W19" s="106">
        <v>0</v>
      </c>
      <c r="X19" s="106">
        <v>0</v>
      </c>
      <c r="Y19" s="106">
        <v>25</v>
      </c>
    </row>
    <row r="20" spans="1:25" x14ac:dyDescent="0.25">
      <c r="A20" t="str">
        <v>09500117</v>
      </c>
      <c r="B20" t="str">
        <f>_xlfn.XLOOKUP(A20,Rencontres_N3_PN_Rx[Num_club],Rencontres_N3_PN_Rx[Equipe 1],,0)</f>
        <v>SAINT PAIR BRICQUEVILLE 1</v>
      </c>
      <c r="C20" t="str" cm="1">
        <f t="array" ref="C20:G20">TRANSPOSE(_xlfn._xlws.SORT(_xlfn.UNIQUE(_xlfn._xlws.FILTER(Rencontres_N3_PN_Rx[Division]&amp;" "&amp;Rencontres_N3_PN_Rx[Genre],Rencontres_N3_PN_Rx[Num_club]=A20))))</f>
        <v>N2 M</v>
      </c>
      <c r="D20" t="str">
        <v>PN M</v>
      </c>
      <c r="E20" t="str">
        <v>R1 M</v>
      </c>
      <c r="F20" t="str">
        <v>R2 M</v>
      </c>
      <c r="G20" t="str">
        <v>R4 M</v>
      </c>
      <c r="M20">
        <f t="shared" si="0"/>
        <v>1</v>
      </c>
      <c r="N20">
        <f t="shared" si="1"/>
        <v>1</v>
      </c>
      <c r="O20">
        <f t="shared" si="2"/>
        <v>3</v>
      </c>
      <c r="P20">
        <f t="shared" si="3"/>
        <v>5</v>
      </c>
      <c r="R20" t="str">
        <v>09500012</v>
      </c>
      <c r="S20" t="str">
        <v>EQUEURDREVILLE 1</v>
      </c>
      <c r="T20" s="113" t="str">
        <v>R1 M</v>
      </c>
      <c r="U20" s="113">
        <v>46004</v>
      </c>
      <c r="V20" s="106" t="str">
        <v>OUI</v>
      </c>
      <c r="W20" s="106">
        <v>0</v>
      </c>
      <c r="X20" s="106">
        <v>76</v>
      </c>
      <c r="Y20" s="106">
        <v>47.8</v>
      </c>
    </row>
    <row r="21" spans="1:25" x14ac:dyDescent="0.25">
      <c r="A21" t="str">
        <v>09500121</v>
      </c>
      <c r="B21" t="str">
        <f>_xlfn.XLOOKUP(A21,Rencontres_N3_PN_Rx[Num_club],Rencontres_N3_PN_Rx[Equipe 1],,0)</f>
        <v xml:space="preserve"> 	LA GLACERIE US  1</v>
      </c>
      <c r="C21" t="str" cm="1">
        <f t="array" ref="C21">TRANSPOSE(_xlfn._xlws.SORT(_xlfn.UNIQUE(_xlfn._xlws.FILTER(Rencontres_N3_PN_Rx[Division]&amp;" "&amp;Rencontres_N3_PN_Rx[Genre],Rencontres_N3_PN_Rx[Num_club]=A21))))</f>
        <v>R4 M</v>
      </c>
      <c r="M21">
        <f t="shared" si="0"/>
        <v>0</v>
      </c>
      <c r="N21">
        <f t="shared" si="1"/>
        <v>0</v>
      </c>
      <c r="O21">
        <f t="shared" si="2"/>
        <v>1</v>
      </c>
      <c r="P21">
        <f t="shared" si="3"/>
        <v>1</v>
      </c>
      <c r="R21" t="str">
        <v>09500013</v>
      </c>
      <c r="S21" t="str">
        <v>COUTANCES JA 2</v>
      </c>
      <c r="T21" s="113" t="str">
        <v>R2 M</v>
      </c>
      <c r="U21" s="113">
        <v>45920</v>
      </c>
      <c r="V21" s="106" t="str">
        <v>OUI</v>
      </c>
      <c r="W21" s="106">
        <v>0</v>
      </c>
      <c r="X21" s="106">
        <v>60</v>
      </c>
      <c r="Y21" s="106">
        <v>43</v>
      </c>
    </row>
    <row r="22" spans="1:25" x14ac:dyDescent="0.25">
      <c r="A22" t="str">
        <v>09500124</v>
      </c>
      <c r="B22" t="str">
        <f>_xlfn.XLOOKUP(A22,Rencontres_N3_PN_Rx[Num_club],Rencontres_N3_PN_Rx[Equipe 1],,0)</f>
        <v>LES PIEUX TT 1</v>
      </c>
      <c r="C22" t="str" cm="1">
        <f t="array" ref="C22">TRANSPOSE(_xlfn._xlws.SORT(_xlfn.UNIQUE(_xlfn._xlws.FILTER(Rencontres_N3_PN_Rx[Division]&amp;" "&amp;Rencontres_N3_PN_Rx[Genre],Rencontres_N3_PN_Rx[Num_club]=A22))))</f>
        <v>R2 M</v>
      </c>
      <c r="M22">
        <f t="shared" si="0"/>
        <v>0</v>
      </c>
      <c r="N22">
        <f t="shared" si="1"/>
        <v>0</v>
      </c>
      <c r="O22">
        <f t="shared" si="2"/>
        <v>1</v>
      </c>
      <c r="P22">
        <f t="shared" si="3"/>
        <v>1</v>
      </c>
      <c r="R22" t="str">
        <v>09500013</v>
      </c>
      <c r="S22" t="str">
        <v>COUTANCES JA 1</v>
      </c>
      <c r="T22" s="113" t="str">
        <v>R1 M</v>
      </c>
      <c r="U22" s="113">
        <v>45927</v>
      </c>
      <c r="V22" s="106" t="str">
        <v>OUI</v>
      </c>
      <c r="W22" s="106">
        <v>0</v>
      </c>
      <c r="X22" s="106">
        <v>15</v>
      </c>
      <c r="Y22" s="106">
        <v>29.5</v>
      </c>
    </row>
    <row r="23" spans="1:25" x14ac:dyDescent="0.25">
      <c r="A23" t="str">
        <v>09500131</v>
      </c>
      <c r="B23" t="str">
        <f>_xlfn.XLOOKUP(A23,Rencontres_N3_PN_Rx[Num_club],Rencontres_N3_PN_Rx[Equipe 1],,0)</f>
        <v>MORTAIN ENT 2</v>
      </c>
      <c r="C23" t="str" cm="1">
        <f t="array" ref="C23:D23">TRANSPOSE(_xlfn._xlws.SORT(_xlfn.UNIQUE(_xlfn._xlws.FILTER(Rencontres_N3_PN_Rx[Division]&amp;" "&amp;Rencontres_N3_PN_Rx[Genre],Rencontres_N3_PN_Rx[Num_club]=A23))))</f>
        <v>R2 M</v>
      </c>
      <c r="D23" t="str">
        <v>R4 M</v>
      </c>
      <c r="M23">
        <f t="shared" si="0"/>
        <v>0</v>
      </c>
      <c r="N23">
        <f t="shared" si="1"/>
        <v>0</v>
      </c>
      <c r="O23">
        <f t="shared" si="2"/>
        <v>2</v>
      </c>
      <c r="P23">
        <f t="shared" si="3"/>
        <v>2</v>
      </c>
      <c r="R23" t="str">
        <v>09500013</v>
      </c>
      <c r="S23" t="str">
        <v>COUTANCES JA-SAINT-PAIR ENT 1</v>
      </c>
      <c r="T23" s="113" t="str">
        <v>N2 F</v>
      </c>
      <c r="U23" s="113">
        <v>45927</v>
      </c>
      <c r="V23" s="106" t="str">
        <v>OUI</v>
      </c>
      <c r="W23" s="106">
        <v>0</v>
      </c>
      <c r="X23" s="106">
        <v>15</v>
      </c>
      <c r="Y23" s="106">
        <v>29.5</v>
      </c>
    </row>
    <row r="24" spans="1:25" x14ac:dyDescent="0.25">
      <c r="A24" t="str">
        <v>09500143</v>
      </c>
      <c r="B24" t="str">
        <f>_xlfn.XLOOKUP(A24,Rencontres_N3_PN_Rx[Num_club],Rencontres_N3_PN_Rx[Equipe 1],,0)</f>
        <v>ASSUN TT 1</v>
      </c>
      <c r="C24" t="str" cm="1">
        <f t="array" ref="C24:D24">TRANSPOSE(_xlfn._xlws.SORT(_xlfn.UNIQUE(_xlfn._xlws.FILTER(Rencontres_N3_PN_Rx[Division]&amp;" "&amp;Rencontres_N3_PN_Rx[Genre],Rencontres_N3_PN_Rx[Num_club]=A24))))</f>
        <v>R2 M</v>
      </c>
      <c r="D24" t="str">
        <v>R3 M</v>
      </c>
      <c r="M24">
        <f t="shared" si="0"/>
        <v>0</v>
      </c>
      <c r="N24">
        <f t="shared" si="1"/>
        <v>0</v>
      </c>
      <c r="O24">
        <f t="shared" si="2"/>
        <v>2</v>
      </c>
      <c r="P24">
        <f t="shared" si="3"/>
        <v>2</v>
      </c>
      <c r="R24" t="str">
        <v>09500013</v>
      </c>
      <c r="S24" t="str">
        <v>COUTANCES JA 2</v>
      </c>
      <c r="T24" s="113" t="str">
        <v>R2 M</v>
      </c>
      <c r="U24" s="113">
        <v>45941</v>
      </c>
      <c r="V24" s="106" t="str">
        <v>OUI</v>
      </c>
      <c r="W24" s="106">
        <v>0</v>
      </c>
      <c r="X24" s="106">
        <v>30</v>
      </c>
      <c r="Y24" s="106">
        <v>34</v>
      </c>
    </row>
    <row r="25" spans="1:25" x14ac:dyDescent="0.25">
      <c r="A25" t="str">
        <v>09500159</v>
      </c>
      <c r="B25" t="str">
        <f>_xlfn.XLOOKUP(A25,Rencontres_N3_PN_Rx[Num_club],Rencontres_N3_PN_Rx[Equipe 1],,0)</f>
        <v>ST PIERRE EGLISE 1</v>
      </c>
      <c r="C25" t="str" cm="1">
        <f t="array" ref="C25:D25">TRANSPOSE(_xlfn._xlws.SORT(_xlfn.UNIQUE(_xlfn._xlws.FILTER(Rencontres_N3_PN_Rx[Division]&amp;" "&amp;Rencontres_N3_PN_Rx[Genre],Rencontres_N3_PN_Rx[Num_club]=A25))))</f>
        <v>R1 M</v>
      </c>
      <c r="D25" t="str">
        <v>R4 M</v>
      </c>
      <c r="M25">
        <f t="shared" si="0"/>
        <v>0</v>
      </c>
      <c r="N25">
        <f t="shared" si="1"/>
        <v>0</v>
      </c>
      <c r="O25">
        <f t="shared" si="2"/>
        <v>2</v>
      </c>
      <c r="P25">
        <f t="shared" si="3"/>
        <v>2</v>
      </c>
      <c r="R25" t="str">
        <v>09500013</v>
      </c>
      <c r="S25" t="str">
        <v>COUTANCES JA 2</v>
      </c>
      <c r="T25" s="113" t="str">
        <v>R2 M</v>
      </c>
      <c r="U25" s="113">
        <v>45976</v>
      </c>
      <c r="V25" s="106" t="str">
        <v>OUI</v>
      </c>
      <c r="W25" s="106">
        <v>0</v>
      </c>
      <c r="X25" s="106">
        <v>20</v>
      </c>
      <c r="Y25" s="106">
        <v>31</v>
      </c>
    </row>
    <row r="26" spans="1:25" x14ac:dyDescent="0.25">
      <c r="A26" t="str">
        <v>09500163</v>
      </c>
      <c r="B26" t="str">
        <f>_xlfn.XLOOKUP(A26,Rencontres_N3_PN_Rx[Num_club],Rencontres_N3_PN_Rx[Equipe 1],,0)</f>
        <v>FEUILLIE CREANCES 1</v>
      </c>
      <c r="C26" t="str" cm="1">
        <f t="array" ref="C26">TRANSPOSE(_xlfn._xlws.SORT(_xlfn.UNIQUE(_xlfn._xlws.FILTER(Rencontres_N3_PN_Rx[Division]&amp;" "&amp;Rencontres_N3_PN_Rx[Genre],Rencontres_N3_PN_Rx[Num_club]=A26))))</f>
        <v>R3 M</v>
      </c>
      <c r="M26">
        <f t="shared" si="0"/>
        <v>0</v>
      </c>
      <c r="N26">
        <f t="shared" si="1"/>
        <v>0</v>
      </c>
      <c r="O26">
        <f t="shared" si="2"/>
        <v>1</v>
      </c>
      <c r="P26">
        <f t="shared" si="3"/>
        <v>1</v>
      </c>
      <c r="R26" t="str">
        <v>09500013</v>
      </c>
      <c r="S26" t="str">
        <v>COUTANCES JA 1</v>
      </c>
      <c r="T26" s="113" t="str">
        <v>R1 M</v>
      </c>
      <c r="U26" s="113">
        <v>45990</v>
      </c>
      <c r="V26" s="106" t="str">
        <v>OUI</v>
      </c>
      <c r="W26" s="106">
        <v>0</v>
      </c>
      <c r="X26" s="106">
        <v>15</v>
      </c>
      <c r="Y26" s="106">
        <v>29.5</v>
      </c>
    </row>
    <row r="27" spans="1:25" x14ac:dyDescent="0.25">
      <c r="R27" t="str">
        <v>09500013</v>
      </c>
      <c r="S27" t="str">
        <v>COUTANCES JA-SAINT-PAIR ENT 1</v>
      </c>
      <c r="T27" s="113" t="str">
        <v>N2 F</v>
      </c>
      <c r="U27" s="113">
        <v>45990</v>
      </c>
      <c r="V27" s="106" t="str">
        <v>OUI</v>
      </c>
      <c r="W27" s="106">
        <v>0</v>
      </c>
      <c r="X27" s="106">
        <v>15</v>
      </c>
      <c r="Y27" s="106">
        <v>29.5</v>
      </c>
    </row>
    <row r="28" spans="1:25" x14ac:dyDescent="0.25">
      <c r="R28" t="str">
        <v>09500013</v>
      </c>
      <c r="S28" t="str">
        <v>COUTANCES JA 2</v>
      </c>
      <c r="T28" s="113" t="str">
        <v>R2 M</v>
      </c>
      <c r="U28" s="113">
        <v>46004</v>
      </c>
      <c r="V28" s="106" t="str">
        <v>OUI</v>
      </c>
      <c r="W28" s="106">
        <v>0</v>
      </c>
      <c r="X28" s="106">
        <v>30</v>
      </c>
      <c r="Y28" s="106">
        <v>34</v>
      </c>
    </row>
    <row r="29" spans="1:25" x14ac:dyDescent="0.25">
      <c r="R29" t="str">
        <v>09500013</v>
      </c>
      <c r="S29" t="str">
        <v>COUTANCES JA 1</v>
      </c>
      <c r="T29" s="113" t="str">
        <v>R1 M</v>
      </c>
      <c r="U29" s="113">
        <v>46032</v>
      </c>
      <c r="V29" s="106" t="str">
        <v>OUI</v>
      </c>
      <c r="W29" s="106">
        <v>0</v>
      </c>
      <c r="X29" s="106">
        <v>63</v>
      </c>
      <c r="Y29" s="106">
        <v>43.9</v>
      </c>
    </row>
    <row r="30" spans="1:25" x14ac:dyDescent="0.25">
      <c r="R30" t="str">
        <v>09500013</v>
      </c>
      <c r="S30" t="str">
        <v>COUTANCES JA-SAINT-PAIR ENT 1</v>
      </c>
      <c r="T30" s="113" t="str">
        <v>N2 F</v>
      </c>
      <c r="U30" s="113">
        <v>46032</v>
      </c>
      <c r="V30" s="106" t="str">
        <v>OUI</v>
      </c>
      <c r="W30" s="106">
        <v>0</v>
      </c>
      <c r="X30" s="106">
        <v>63</v>
      </c>
      <c r="Y30" s="106">
        <v>43.9</v>
      </c>
    </row>
    <row r="31" spans="1:25" x14ac:dyDescent="0.25">
      <c r="R31" t="str">
        <v>09500022</v>
      </c>
      <c r="S31" t="str">
        <v>OC AGNEAUX  1</v>
      </c>
      <c r="T31" s="113" t="str">
        <v>R1 M</v>
      </c>
      <c r="U31" s="113">
        <v>45927</v>
      </c>
      <c r="V31" s="106" t="str">
        <v>OUI</v>
      </c>
      <c r="W31" s="106">
        <v>0</v>
      </c>
      <c r="X31" s="106">
        <v>0</v>
      </c>
      <c r="Y31" s="106">
        <v>25</v>
      </c>
    </row>
    <row r="32" spans="1:25" x14ac:dyDescent="0.25">
      <c r="R32" t="str">
        <v>09500022</v>
      </c>
      <c r="S32" t="str">
        <v>OC AGNEAUX  1</v>
      </c>
      <c r="T32" s="113" t="str">
        <v>R1 M</v>
      </c>
      <c r="U32" s="113">
        <v>45941</v>
      </c>
      <c r="V32" s="106" t="str">
        <v>OUI</v>
      </c>
      <c r="W32" s="106">
        <v>0</v>
      </c>
      <c r="X32" s="106">
        <v>12</v>
      </c>
      <c r="Y32" s="106">
        <v>28.6</v>
      </c>
    </row>
    <row r="33" spans="18:25" x14ac:dyDescent="0.25">
      <c r="R33" t="str">
        <v>09500022</v>
      </c>
      <c r="S33" t="str">
        <v>OC AGNEAUX  1</v>
      </c>
      <c r="T33" s="113" t="str">
        <v>R1 M</v>
      </c>
      <c r="U33" s="113">
        <v>45990</v>
      </c>
      <c r="V33" s="106" t="str">
        <v>OUI</v>
      </c>
      <c r="W33" s="106">
        <v>0</v>
      </c>
      <c r="X33" s="106">
        <v>12</v>
      </c>
      <c r="Y33" s="106">
        <v>28.6</v>
      </c>
    </row>
    <row r="34" spans="18:25" x14ac:dyDescent="0.25">
      <c r="R34" t="str">
        <v>09500022</v>
      </c>
      <c r="S34" t="str">
        <v>OC AGNEAUX  1</v>
      </c>
      <c r="T34" s="113" t="str">
        <v>R1 M</v>
      </c>
      <c r="U34" s="113">
        <v>46032</v>
      </c>
      <c r="V34" s="106" t="str">
        <v>OUI</v>
      </c>
      <c r="W34" s="106">
        <v>0</v>
      </c>
      <c r="X34" s="106">
        <v>12</v>
      </c>
      <c r="Y34" s="106">
        <v>28.6</v>
      </c>
    </row>
    <row r="35" spans="18:25" x14ac:dyDescent="0.25">
      <c r="R35" t="str">
        <v>09500025</v>
      </c>
      <c r="S35" t="str">
        <v>ISIGNY-MONTIGNY 1</v>
      </c>
      <c r="T35" s="113" t="str">
        <v>R3 M</v>
      </c>
      <c r="U35" s="113">
        <v>45941</v>
      </c>
      <c r="V35" s="106" t="str">
        <v>OUI</v>
      </c>
      <c r="W35" s="106">
        <v>0</v>
      </c>
      <c r="X35" s="106">
        <v>40</v>
      </c>
      <c r="Y35" s="106">
        <v>37</v>
      </c>
    </row>
    <row r="36" spans="18:25" x14ac:dyDescent="0.25">
      <c r="R36" t="str">
        <v>09500025</v>
      </c>
      <c r="S36" t="str">
        <v>ISIGNY-MONTIGNY 1</v>
      </c>
      <c r="T36" s="113" t="str">
        <v>R3 M</v>
      </c>
      <c r="U36" s="113">
        <v>45990</v>
      </c>
      <c r="V36" s="106" t="str">
        <v>OUI</v>
      </c>
      <c r="W36" s="106">
        <v>0</v>
      </c>
      <c r="X36" s="106">
        <v>50</v>
      </c>
      <c r="Y36" s="106">
        <v>40</v>
      </c>
    </row>
    <row r="37" spans="18:25" x14ac:dyDescent="0.25">
      <c r="R37" t="str">
        <v>09500025</v>
      </c>
      <c r="S37" t="str">
        <v>ISIGNY-MONTIGNY 1</v>
      </c>
      <c r="T37" s="113" t="str">
        <v>R3 M</v>
      </c>
      <c r="U37" s="113">
        <v>46032</v>
      </c>
      <c r="V37" s="106" t="str">
        <v>OUI</v>
      </c>
      <c r="W37" s="106">
        <v>0</v>
      </c>
      <c r="X37" s="106">
        <v>54</v>
      </c>
      <c r="Y37" s="106">
        <v>41.2</v>
      </c>
    </row>
    <row r="38" spans="18:25" x14ac:dyDescent="0.25">
      <c r="R38" t="str">
        <v>09500030</v>
      </c>
      <c r="S38" t="str">
        <v>CHERBOURG ASTT 1</v>
      </c>
      <c r="T38" s="113" t="str">
        <v>R2 M</v>
      </c>
      <c r="U38" s="113">
        <v>45927</v>
      </c>
      <c r="V38" s="106" t="str">
        <v>OUI</v>
      </c>
      <c r="W38" s="106">
        <v>0</v>
      </c>
      <c r="X38" s="106">
        <v>53</v>
      </c>
      <c r="Y38" s="106">
        <v>40.9</v>
      </c>
    </row>
    <row r="39" spans="18:25" x14ac:dyDescent="0.25">
      <c r="R39" t="str">
        <v>09500030</v>
      </c>
      <c r="S39" t="str">
        <v>CHERBOURG ASTT 1</v>
      </c>
      <c r="T39" s="113" t="str">
        <v>R2 M</v>
      </c>
      <c r="U39" s="113">
        <v>45941</v>
      </c>
      <c r="V39" s="106" t="str">
        <v>OUI</v>
      </c>
      <c r="W39" s="106">
        <v>0</v>
      </c>
      <c r="X39" s="106">
        <v>5.6</v>
      </c>
      <c r="Y39" s="106">
        <v>26.68</v>
      </c>
    </row>
    <row r="40" spans="18:25" x14ac:dyDescent="0.25">
      <c r="R40" t="str">
        <v>09500030</v>
      </c>
      <c r="S40" t="str">
        <v>CHERBOURG ASTT 1</v>
      </c>
      <c r="T40" s="113" t="str">
        <v>R2 M</v>
      </c>
      <c r="U40" s="113">
        <v>45990</v>
      </c>
      <c r="V40" s="106" t="str">
        <v>OUI</v>
      </c>
      <c r="W40" s="106">
        <v>0</v>
      </c>
      <c r="X40" s="106">
        <v>50</v>
      </c>
      <c r="Y40" s="106">
        <v>40</v>
      </c>
    </row>
    <row r="41" spans="18:25" x14ac:dyDescent="0.25">
      <c r="R41" t="str">
        <v>09500030</v>
      </c>
      <c r="S41" t="str">
        <v>CHERBOURG ASTT 1</v>
      </c>
      <c r="T41" s="113" t="str">
        <v>R2 M</v>
      </c>
      <c r="U41" s="113">
        <v>46032</v>
      </c>
      <c r="V41" s="106" t="str">
        <v>OUI</v>
      </c>
      <c r="W41" s="106">
        <v>0</v>
      </c>
      <c r="X41" s="106">
        <v>106</v>
      </c>
      <c r="Y41" s="106">
        <v>56.8</v>
      </c>
    </row>
    <row r="42" spans="18:25" x14ac:dyDescent="0.25">
      <c r="R42" t="str">
        <v>09500048</v>
      </c>
      <c r="S42" t="str">
        <v>SAINT JAMES TT 1</v>
      </c>
      <c r="T42" s="113" t="str">
        <v>N3 M</v>
      </c>
      <c r="U42" s="113">
        <v>45913</v>
      </c>
      <c r="V42" s="106" t="str">
        <v>OUI</v>
      </c>
      <c r="W42" s="106">
        <v>0</v>
      </c>
      <c r="X42" s="106">
        <v>134</v>
      </c>
      <c r="Y42" s="106">
        <v>65.199999999999989</v>
      </c>
    </row>
    <row r="43" spans="18:25" x14ac:dyDescent="0.25">
      <c r="R43" t="str">
        <v>09500048</v>
      </c>
      <c r="S43" t="str">
        <v>SAINT JAMES TT 2</v>
      </c>
      <c r="T43" s="113" t="str">
        <v>R1 M</v>
      </c>
      <c r="U43" s="113">
        <v>45920</v>
      </c>
      <c r="V43" s="106" t="str">
        <v>OUI</v>
      </c>
      <c r="W43" s="106">
        <v>0</v>
      </c>
      <c r="X43" s="106">
        <v>23</v>
      </c>
      <c r="Y43" s="106">
        <v>31.9</v>
      </c>
    </row>
    <row r="44" spans="18:25" x14ac:dyDescent="0.25">
      <c r="R44" t="str">
        <v>09500048</v>
      </c>
      <c r="S44" t="str">
        <v>SAINT JAMES TT 2</v>
      </c>
      <c r="T44" s="113" t="str">
        <v>R1 M</v>
      </c>
      <c r="U44" s="113">
        <v>45941</v>
      </c>
      <c r="V44" s="106" t="str">
        <v>OUI</v>
      </c>
      <c r="W44" s="106">
        <v>0</v>
      </c>
      <c r="X44" s="106">
        <v>102</v>
      </c>
      <c r="Y44" s="106">
        <v>55.599999999999994</v>
      </c>
    </row>
    <row r="45" spans="18:25" x14ac:dyDescent="0.25">
      <c r="R45" t="str">
        <v>09500048</v>
      </c>
      <c r="S45" t="str">
        <v>SAINT JAMES TT 1</v>
      </c>
      <c r="T45" s="113" t="str">
        <v>N3 M</v>
      </c>
      <c r="U45" s="113">
        <v>45941</v>
      </c>
      <c r="V45" s="106" t="str">
        <v>OUI</v>
      </c>
      <c r="W45" s="106">
        <v>0</v>
      </c>
      <c r="X45" s="106">
        <v>102</v>
      </c>
      <c r="Y45" s="106">
        <v>55.599999999999994</v>
      </c>
    </row>
    <row r="46" spans="18:25" x14ac:dyDescent="0.25">
      <c r="R46" t="str">
        <v>09500048</v>
      </c>
      <c r="S46" t="str">
        <v>SAINT JAMES TT 3</v>
      </c>
      <c r="T46" s="113" t="str">
        <v>R2 M</v>
      </c>
      <c r="U46" s="113">
        <v>45942</v>
      </c>
      <c r="V46" s="106" t="str">
        <v>OUI</v>
      </c>
      <c r="W46" s="106">
        <v>0</v>
      </c>
      <c r="X46" s="106">
        <v>36</v>
      </c>
      <c r="Y46" s="106">
        <v>35.799999999999997</v>
      </c>
    </row>
    <row r="47" spans="18:25" x14ac:dyDescent="0.25">
      <c r="R47" t="str">
        <v>09500048</v>
      </c>
      <c r="S47" t="str">
        <v>SAINT JAMES TT 2</v>
      </c>
      <c r="T47" s="113" t="str">
        <v>R1 M</v>
      </c>
      <c r="U47" s="113">
        <v>45990</v>
      </c>
      <c r="V47" s="106" t="str">
        <v>OUI</v>
      </c>
      <c r="W47" s="106">
        <v>0</v>
      </c>
      <c r="X47" s="106">
        <v>51</v>
      </c>
      <c r="Y47" s="106">
        <v>40.299999999999997</v>
      </c>
    </row>
    <row r="48" spans="18:25" x14ac:dyDescent="0.25">
      <c r="R48" t="str">
        <v>09500048</v>
      </c>
      <c r="S48" t="str">
        <v>SAINT JAMES TT 1</v>
      </c>
      <c r="T48" s="113" t="str">
        <v>N3 M</v>
      </c>
      <c r="U48" s="113">
        <v>45990</v>
      </c>
      <c r="V48" s="106" t="str">
        <v>OUI</v>
      </c>
      <c r="W48" s="106">
        <v>0</v>
      </c>
      <c r="X48" s="106">
        <v>51</v>
      </c>
      <c r="Y48" s="106">
        <v>40.299999999999997</v>
      </c>
    </row>
    <row r="49" spans="18:25" x14ac:dyDescent="0.25">
      <c r="R49" t="str">
        <v>09500048</v>
      </c>
      <c r="S49" t="str">
        <v>SAINT JAMES TT 3</v>
      </c>
      <c r="T49" s="113" t="str">
        <v>R2 M</v>
      </c>
      <c r="U49" s="113">
        <v>45991</v>
      </c>
      <c r="V49" s="106" t="str">
        <v>OUI</v>
      </c>
      <c r="W49" s="106">
        <v>0</v>
      </c>
      <c r="X49" s="106">
        <v>102</v>
      </c>
      <c r="Y49" s="106">
        <v>55.599999999999994</v>
      </c>
    </row>
    <row r="50" spans="18:25" x14ac:dyDescent="0.25">
      <c r="R50" t="str">
        <v>09500048</v>
      </c>
      <c r="S50" t="str">
        <v>SAINT JAMES TT 2</v>
      </c>
      <c r="T50" s="113" t="str">
        <v>R1 M</v>
      </c>
      <c r="U50" s="113">
        <v>46004</v>
      </c>
      <c r="V50" s="106" t="str">
        <v>OUI</v>
      </c>
      <c r="W50" s="106">
        <v>0</v>
      </c>
      <c r="X50" s="106">
        <v>51</v>
      </c>
      <c r="Y50" s="106">
        <v>40.299999999999997</v>
      </c>
    </row>
    <row r="51" spans="18:25" x14ac:dyDescent="0.25">
      <c r="R51" t="str">
        <v>09500048</v>
      </c>
      <c r="S51" t="str">
        <v>SAINT JAMES TT 1</v>
      </c>
      <c r="T51" s="113" t="str">
        <v>N3 M</v>
      </c>
      <c r="U51" s="113">
        <v>46004</v>
      </c>
      <c r="V51" s="106" t="str">
        <v>OUI</v>
      </c>
      <c r="W51" s="106">
        <v>0</v>
      </c>
      <c r="X51" s="106">
        <v>51</v>
      </c>
      <c r="Y51" s="106">
        <v>40.299999999999997</v>
      </c>
    </row>
    <row r="52" spans="18:25" x14ac:dyDescent="0.25">
      <c r="R52" t="str">
        <v>09500048</v>
      </c>
      <c r="S52" t="str">
        <v>SAINT JAMES TT 3</v>
      </c>
      <c r="T52" s="113" t="str">
        <v>R2 M</v>
      </c>
      <c r="U52" s="113">
        <v>46005</v>
      </c>
      <c r="V52" s="106" t="str">
        <v>OUI</v>
      </c>
      <c r="W52" s="106">
        <v>0</v>
      </c>
      <c r="X52" s="106">
        <v>95</v>
      </c>
      <c r="Y52" s="106">
        <v>53.5</v>
      </c>
    </row>
    <row r="53" spans="18:25" x14ac:dyDescent="0.25">
      <c r="R53" t="str">
        <v>09500053</v>
      </c>
      <c r="S53" t="str">
        <v>ST JEAN CHAMPS 1</v>
      </c>
      <c r="T53" s="113" t="str">
        <v>R2 M</v>
      </c>
      <c r="U53" s="113">
        <v>45928</v>
      </c>
      <c r="V53" s="106" t="str">
        <v>OUI</v>
      </c>
      <c r="W53" s="106">
        <v>0</v>
      </c>
      <c r="X53" s="106">
        <v>87</v>
      </c>
      <c r="Y53" s="106">
        <v>51.099999999999994</v>
      </c>
    </row>
    <row r="54" spans="18:25" x14ac:dyDescent="0.25">
      <c r="R54" t="str">
        <v>09500053</v>
      </c>
      <c r="S54" t="str">
        <v>ST JEAN CHAMPS 1</v>
      </c>
      <c r="T54" s="113" t="str">
        <v>R2 M</v>
      </c>
      <c r="U54" s="113">
        <v>45977</v>
      </c>
      <c r="V54" s="106" t="str">
        <v>OUI</v>
      </c>
      <c r="W54" s="106">
        <v>0</v>
      </c>
      <c r="X54" s="106">
        <v>72</v>
      </c>
      <c r="Y54" s="106">
        <v>46.599999999999994</v>
      </c>
    </row>
    <row r="55" spans="18:25" x14ac:dyDescent="0.25">
      <c r="R55" t="str">
        <v>09500053</v>
      </c>
      <c r="S55" t="str">
        <v>ST JEAN CHAMPS 1</v>
      </c>
      <c r="T55" s="113" t="str">
        <v>R2 M</v>
      </c>
      <c r="U55" s="113">
        <v>46005</v>
      </c>
      <c r="V55" s="106" t="str">
        <v>OUI</v>
      </c>
      <c r="W55" s="106">
        <v>0</v>
      </c>
      <c r="X55" s="106">
        <v>87</v>
      </c>
      <c r="Y55" s="106">
        <v>51.099999999999994</v>
      </c>
    </row>
    <row r="56" spans="18:25" x14ac:dyDescent="0.25">
      <c r="R56" t="str">
        <v>09500059</v>
      </c>
      <c r="S56" t="str">
        <v>ATT DUCEY AVRANCHES 1</v>
      </c>
      <c r="T56" s="113" t="str">
        <v>R3 M</v>
      </c>
      <c r="U56" s="113">
        <v>45927</v>
      </c>
      <c r="V56" s="106" t="str">
        <v>OUI</v>
      </c>
      <c r="W56" s="106">
        <v>0</v>
      </c>
      <c r="X56" s="106">
        <v>16</v>
      </c>
      <c r="Y56" s="106">
        <v>29.8</v>
      </c>
    </row>
    <row r="57" spans="18:25" x14ac:dyDescent="0.25">
      <c r="R57" t="str">
        <v>09500059</v>
      </c>
      <c r="S57" t="str">
        <v>ATT DUCEY AVRANCHES 2</v>
      </c>
      <c r="T57" s="113" t="str">
        <v>R4 M</v>
      </c>
      <c r="U57" s="113">
        <v>45927</v>
      </c>
      <c r="V57" s="106" t="str">
        <v>OUI</v>
      </c>
      <c r="W57" s="106">
        <v>0</v>
      </c>
      <c r="X57" s="106">
        <v>16</v>
      </c>
      <c r="Y57" s="106">
        <v>29.8</v>
      </c>
    </row>
    <row r="58" spans="18:25" x14ac:dyDescent="0.25">
      <c r="R58" t="str">
        <v>09500059</v>
      </c>
      <c r="S58" t="str">
        <v>ATT DUCEY AVRANCHES 1</v>
      </c>
      <c r="T58" s="113" t="str">
        <v>R3 M</v>
      </c>
      <c r="U58" s="113">
        <v>45976</v>
      </c>
      <c r="V58" s="106" t="str">
        <v>OUI</v>
      </c>
      <c r="W58" s="106">
        <v>0</v>
      </c>
      <c r="X58" s="106">
        <v>18.2</v>
      </c>
      <c r="Y58" s="106">
        <v>30.46</v>
      </c>
    </row>
    <row r="59" spans="18:25" x14ac:dyDescent="0.25">
      <c r="R59" t="str">
        <v>09500059</v>
      </c>
      <c r="S59" t="str">
        <v>ATT DUCEY AVRANCHES 2</v>
      </c>
      <c r="T59" s="113" t="str">
        <v>R4 M</v>
      </c>
      <c r="U59" s="113">
        <v>45976</v>
      </c>
      <c r="V59" s="106" t="str">
        <v>OUI</v>
      </c>
      <c r="W59" s="106">
        <v>0</v>
      </c>
      <c r="X59" s="106">
        <v>18.2</v>
      </c>
      <c r="Y59" s="106">
        <v>30.46</v>
      </c>
    </row>
    <row r="60" spans="18:25" x14ac:dyDescent="0.25">
      <c r="R60" t="str">
        <v>09500059</v>
      </c>
      <c r="S60" t="str">
        <v>ATT DUCEY AVRANCHES 1</v>
      </c>
      <c r="T60" s="113" t="str">
        <v>R3 M</v>
      </c>
      <c r="U60" s="113">
        <v>46032</v>
      </c>
      <c r="V60" s="106" t="str">
        <v>OUI</v>
      </c>
      <c r="W60" s="106">
        <v>0</v>
      </c>
      <c r="X60" s="106">
        <v>35</v>
      </c>
      <c r="Y60" s="106">
        <v>35.5</v>
      </c>
    </row>
    <row r="61" spans="18:25" x14ac:dyDescent="0.25">
      <c r="R61" t="str">
        <v>09500059</v>
      </c>
      <c r="S61" t="str">
        <v>ATT DUCEY AVRANCHES 2</v>
      </c>
      <c r="T61" s="113" t="str">
        <v>R4 M</v>
      </c>
      <c r="U61" s="113">
        <v>46032</v>
      </c>
      <c r="V61" s="106" t="str">
        <v>OUI</v>
      </c>
      <c r="W61" s="106">
        <v>0</v>
      </c>
      <c r="X61" s="106">
        <v>35</v>
      </c>
      <c r="Y61" s="106">
        <v>35.5</v>
      </c>
    </row>
    <row r="62" spans="18:25" x14ac:dyDescent="0.25">
      <c r="R62" t="str">
        <v>09500063</v>
      </c>
      <c r="S62" t="str">
        <v>DONVILLE USM 1</v>
      </c>
      <c r="T62" s="113" t="str">
        <v>R3 M</v>
      </c>
      <c r="U62" s="113">
        <v>45927</v>
      </c>
      <c r="V62" s="106" t="str">
        <v>OUI</v>
      </c>
      <c r="W62" s="106">
        <v>0</v>
      </c>
      <c r="X62" s="106">
        <v>90</v>
      </c>
      <c r="Y62" s="106">
        <v>52</v>
      </c>
    </row>
    <row r="63" spans="18:25" x14ac:dyDescent="0.25">
      <c r="R63" t="str">
        <v>09500063</v>
      </c>
      <c r="S63" t="str">
        <v>DONVILLE USM 1</v>
      </c>
      <c r="T63" s="113" t="str">
        <v>R3 M</v>
      </c>
      <c r="U63" s="113">
        <v>45990</v>
      </c>
      <c r="V63" s="106" t="str">
        <v>OUI</v>
      </c>
      <c r="W63" s="106">
        <v>0</v>
      </c>
      <c r="X63" s="106">
        <v>8</v>
      </c>
      <c r="Y63" s="106">
        <v>27.4</v>
      </c>
    </row>
    <row r="64" spans="18:25" x14ac:dyDescent="0.25">
      <c r="R64" t="str">
        <v>09500063</v>
      </c>
      <c r="S64" t="str">
        <v>DONVILLE USM 1</v>
      </c>
      <c r="T64" s="113" t="str">
        <v>R3 M</v>
      </c>
      <c r="U64" s="113">
        <v>46032</v>
      </c>
      <c r="V64" s="106" t="str">
        <v>OUI</v>
      </c>
      <c r="W64" s="106">
        <v>0</v>
      </c>
      <c r="X64" s="106">
        <v>98.8</v>
      </c>
      <c r="Y64" s="106">
        <v>54.64</v>
      </c>
    </row>
    <row r="65" spans="18:25" x14ac:dyDescent="0.25">
      <c r="R65" t="str">
        <v>09500093</v>
      </c>
      <c r="S65" t="str">
        <v>QUERQUEVILLE AS 1</v>
      </c>
      <c r="T65" s="113" t="str">
        <v>R3 M</v>
      </c>
      <c r="U65" s="113">
        <v>45927</v>
      </c>
      <c r="V65" s="106" t="str">
        <v>OUI</v>
      </c>
      <c r="W65" s="106">
        <v>0</v>
      </c>
      <c r="X65" s="106">
        <v>27</v>
      </c>
      <c r="Y65" s="106">
        <v>33.1</v>
      </c>
    </row>
    <row r="66" spans="18:25" x14ac:dyDescent="0.25">
      <c r="R66" t="str">
        <v>09500093</v>
      </c>
      <c r="S66" t="str">
        <v>QUERQUEVILLE AS 2</v>
      </c>
      <c r="T66" s="113" t="str">
        <v>R4 M</v>
      </c>
      <c r="U66" s="113">
        <v>45927</v>
      </c>
      <c r="V66" s="106" t="str">
        <v>OUI</v>
      </c>
      <c r="W66" s="106">
        <v>0</v>
      </c>
      <c r="X66" s="106">
        <v>27</v>
      </c>
      <c r="Y66" s="106">
        <v>33.1</v>
      </c>
    </row>
    <row r="67" spans="18:25" x14ac:dyDescent="0.25">
      <c r="R67" t="str">
        <v>09500093</v>
      </c>
      <c r="S67" t="str">
        <v>QUERQUEVILLE AS 1</v>
      </c>
      <c r="T67" s="113" t="str">
        <v>R3 M</v>
      </c>
      <c r="U67" s="113">
        <v>45976</v>
      </c>
      <c r="V67" s="106" t="str">
        <v>OUI</v>
      </c>
      <c r="W67" s="106">
        <v>0</v>
      </c>
      <c r="X67" s="106">
        <v>9</v>
      </c>
      <c r="Y67" s="106">
        <v>27.7</v>
      </c>
    </row>
    <row r="68" spans="18:25" x14ac:dyDescent="0.25">
      <c r="R68" t="str">
        <v>09500093</v>
      </c>
      <c r="S68" t="str">
        <v>QUERQUEVILLE AS 2</v>
      </c>
      <c r="T68" s="113" t="str">
        <v>R4 M</v>
      </c>
      <c r="U68" s="113">
        <v>45976</v>
      </c>
      <c r="V68" s="106" t="str">
        <v>OUI</v>
      </c>
      <c r="W68" s="106">
        <v>0</v>
      </c>
      <c r="X68" s="106">
        <v>0</v>
      </c>
      <c r="Y68" s="106">
        <v>25</v>
      </c>
    </row>
    <row r="69" spans="18:25" x14ac:dyDescent="0.25">
      <c r="R69" t="str">
        <v>09500093</v>
      </c>
      <c r="S69" t="str">
        <v>QUERQUEVILLE AS 1</v>
      </c>
      <c r="T69" s="113" t="str">
        <v>R3 M</v>
      </c>
      <c r="U69" s="113">
        <v>46004</v>
      </c>
      <c r="V69" s="106" t="str">
        <v>OUI</v>
      </c>
      <c r="W69" s="106">
        <v>0</v>
      </c>
      <c r="X69" s="106">
        <v>10</v>
      </c>
      <c r="Y69" s="106">
        <v>28</v>
      </c>
    </row>
    <row r="70" spans="18:25" x14ac:dyDescent="0.25">
      <c r="R70" t="str">
        <v>09500093</v>
      </c>
      <c r="S70" t="str">
        <v>QUERQUEVILLE AS 2</v>
      </c>
      <c r="T70" s="113" t="str">
        <v>R4 M</v>
      </c>
      <c r="U70" s="113">
        <v>46004</v>
      </c>
      <c r="V70" s="106" t="str">
        <v>OUI</v>
      </c>
      <c r="W70" s="106">
        <v>0</v>
      </c>
      <c r="X70" s="106">
        <v>10</v>
      </c>
      <c r="Y70" s="106">
        <v>28</v>
      </c>
    </row>
    <row r="71" spans="18:25" x14ac:dyDescent="0.25">
      <c r="R71" t="str">
        <v>09500112</v>
      </c>
      <c r="S71" t="str">
        <v>ST HILAIRE/PARIGNY 1</v>
      </c>
      <c r="T71" s="113" t="str">
        <v>R1 M</v>
      </c>
      <c r="U71" s="113">
        <v>45920</v>
      </c>
      <c r="V71" s="106" t="str">
        <v>OUI</v>
      </c>
      <c r="W71" s="106">
        <v>0</v>
      </c>
      <c r="X71" s="106">
        <v>29.5</v>
      </c>
      <c r="Y71" s="106">
        <v>33.85</v>
      </c>
    </row>
    <row r="72" spans="18:25" x14ac:dyDescent="0.25">
      <c r="R72" t="str">
        <v>09500112</v>
      </c>
      <c r="S72" t="str">
        <v>ST HILAIRE/PARIGNY 2</v>
      </c>
      <c r="T72" s="113" t="str">
        <v>R2 M</v>
      </c>
      <c r="U72" s="113">
        <v>45920</v>
      </c>
      <c r="V72" s="106" t="str">
        <v>OUI</v>
      </c>
      <c r="W72" s="106">
        <v>0</v>
      </c>
      <c r="X72" s="106">
        <v>29.5</v>
      </c>
      <c r="Y72" s="106">
        <v>33.85</v>
      </c>
    </row>
    <row r="73" spans="18:25" x14ac:dyDescent="0.25">
      <c r="R73" t="str">
        <v>09500112</v>
      </c>
      <c r="S73" t="str">
        <v>ST HILAIRE/PARIGNY 1</v>
      </c>
      <c r="T73" s="113" t="str">
        <v>R1 M</v>
      </c>
      <c r="U73" s="113">
        <v>45976</v>
      </c>
      <c r="V73" s="106" t="str">
        <v>OUI</v>
      </c>
      <c r="W73" s="106">
        <v>0</v>
      </c>
      <c r="X73" s="106">
        <v>55</v>
      </c>
      <c r="Y73" s="106">
        <v>41.5</v>
      </c>
    </row>
    <row r="74" spans="18:25" x14ac:dyDescent="0.25">
      <c r="R74" t="str">
        <v>09500112</v>
      </c>
      <c r="S74" t="str">
        <v>ST HILAIRE/PARIGNY 2</v>
      </c>
      <c r="T74" s="113" t="str">
        <v>R2 M</v>
      </c>
      <c r="U74" s="113">
        <v>45976</v>
      </c>
      <c r="V74" s="106" t="str">
        <v>OUI</v>
      </c>
      <c r="W74" s="106">
        <v>0</v>
      </c>
      <c r="X74" s="106">
        <v>55</v>
      </c>
      <c r="Y74" s="106">
        <v>41.5</v>
      </c>
    </row>
    <row r="75" spans="18:25" x14ac:dyDescent="0.25">
      <c r="R75" t="str">
        <v>09500112</v>
      </c>
      <c r="S75" t="str">
        <v>ST HILAIRE/PARIGNY 1</v>
      </c>
      <c r="T75" s="113" t="str">
        <v>R1 M</v>
      </c>
      <c r="U75" s="113">
        <v>46004</v>
      </c>
      <c r="V75" s="106" t="str">
        <v>OUI</v>
      </c>
      <c r="W75" s="106">
        <v>0</v>
      </c>
      <c r="X75" s="106">
        <v>21.5</v>
      </c>
      <c r="Y75" s="106">
        <v>31.45</v>
      </c>
    </row>
    <row r="76" spans="18:25" x14ac:dyDescent="0.25">
      <c r="R76" t="str">
        <v>09500112</v>
      </c>
      <c r="S76" t="str">
        <v>ST HILAIRE/PARIGNY 2</v>
      </c>
      <c r="T76" s="113" t="str">
        <v>R2 M</v>
      </c>
      <c r="U76" s="113">
        <v>46004</v>
      </c>
      <c r="V76" s="106" t="str">
        <v>OUI</v>
      </c>
      <c r="W76" s="106">
        <v>0</v>
      </c>
      <c r="X76" s="106">
        <v>21.5</v>
      </c>
      <c r="Y76" s="106">
        <v>31.45</v>
      </c>
    </row>
    <row r="77" spans="18:25" x14ac:dyDescent="0.25">
      <c r="R77" t="str">
        <v>09500117</v>
      </c>
      <c r="S77" t="str">
        <v>SAINT PAIR BRICQUEVILLE 1</v>
      </c>
      <c r="T77" s="113" t="str">
        <v>N2 M</v>
      </c>
      <c r="U77" s="113">
        <v>45913</v>
      </c>
      <c r="V77" s="106" t="str">
        <v>OUI</v>
      </c>
      <c r="W77" s="106">
        <v>0</v>
      </c>
      <c r="X77" s="106">
        <v>118</v>
      </c>
      <c r="Y77" s="106">
        <v>60.4</v>
      </c>
    </row>
    <row r="78" spans="18:25" x14ac:dyDescent="0.25">
      <c r="R78" t="str">
        <v>09500117</v>
      </c>
      <c r="S78" t="str">
        <v>SAINT PAIR BRICQUEVILLE TT 2</v>
      </c>
      <c r="T78" s="113" t="str">
        <v>PN M</v>
      </c>
      <c r="U78" s="113">
        <v>45927</v>
      </c>
      <c r="V78" s="106" t="str">
        <v>OUI</v>
      </c>
      <c r="W78" s="106">
        <v>0</v>
      </c>
      <c r="X78" s="106">
        <v>60</v>
      </c>
      <c r="Y78" s="106">
        <v>43</v>
      </c>
    </row>
    <row r="79" spans="18:25" x14ac:dyDescent="0.25">
      <c r="R79" t="str">
        <v>09500117</v>
      </c>
      <c r="S79" t="str">
        <v>SAINT PAIR BRICQUEVILLE TT 3</v>
      </c>
      <c r="T79" s="113" t="str">
        <v>R1 M</v>
      </c>
      <c r="U79" s="113">
        <v>45927</v>
      </c>
      <c r="V79" s="106" t="str">
        <v>OUI</v>
      </c>
      <c r="W79" s="106">
        <v>0</v>
      </c>
      <c r="X79" s="106">
        <v>118</v>
      </c>
      <c r="Y79" s="106">
        <v>60.4</v>
      </c>
    </row>
    <row r="80" spans="18:25" x14ac:dyDescent="0.25">
      <c r="R80" t="str">
        <v>09500117</v>
      </c>
      <c r="S80" t="str">
        <v>SAINT PAIR BRICQUEVILLE TT 4</v>
      </c>
      <c r="T80" s="113" t="str">
        <v>R2 M</v>
      </c>
      <c r="U80" s="113">
        <v>45927</v>
      </c>
      <c r="V80" s="106" t="str">
        <v>OUI</v>
      </c>
      <c r="W80" s="106">
        <v>0</v>
      </c>
      <c r="X80" s="106">
        <v>60</v>
      </c>
      <c r="Y80" s="106">
        <v>43</v>
      </c>
    </row>
    <row r="81" spans="18:25" x14ac:dyDescent="0.25">
      <c r="R81" t="str">
        <v>09500117</v>
      </c>
      <c r="S81" t="str">
        <v>SAINT PAIR BRICQUEVILLE TT 2</v>
      </c>
      <c r="T81" s="113" t="str">
        <v>PN M</v>
      </c>
      <c r="U81" s="113">
        <v>45976</v>
      </c>
      <c r="V81" s="106" t="str">
        <v>OUI</v>
      </c>
      <c r="W81" s="106">
        <v>0</v>
      </c>
      <c r="X81" s="106">
        <v>60</v>
      </c>
      <c r="Y81" s="106">
        <v>43</v>
      </c>
    </row>
    <row r="82" spans="18:25" x14ac:dyDescent="0.25">
      <c r="R82" t="str">
        <v>09500117</v>
      </c>
      <c r="S82" t="str">
        <v>SAINT PAIR BRICQUEVILLE TT 3</v>
      </c>
      <c r="T82" s="113" t="str">
        <v>R1 M</v>
      </c>
      <c r="U82" s="113">
        <v>45976</v>
      </c>
      <c r="V82" s="106" t="str">
        <v>OUI</v>
      </c>
      <c r="W82" s="106">
        <v>0</v>
      </c>
      <c r="X82" s="106">
        <v>44</v>
      </c>
      <c r="Y82" s="106">
        <v>38.200000000000003</v>
      </c>
    </row>
    <row r="83" spans="18:25" x14ac:dyDescent="0.25">
      <c r="R83" t="str">
        <v>09500117</v>
      </c>
      <c r="S83" t="str">
        <v>SAINT PAIR BRICQUEVILLE TT 4</v>
      </c>
      <c r="T83" s="113" t="str">
        <v>R2 M</v>
      </c>
      <c r="U83" s="113">
        <v>45976</v>
      </c>
      <c r="V83" s="106" t="str">
        <v>OUI</v>
      </c>
      <c r="W83" s="106">
        <v>0</v>
      </c>
      <c r="X83" s="106">
        <v>44</v>
      </c>
      <c r="Y83" s="106">
        <v>38.200000000000003</v>
      </c>
    </row>
    <row r="84" spans="18:25" x14ac:dyDescent="0.25">
      <c r="R84" t="str">
        <v>09500117</v>
      </c>
      <c r="S84" t="str">
        <v>SAINT PAIR BRICQUEVILLE 1</v>
      </c>
      <c r="T84" s="113" t="str">
        <v>N2 M</v>
      </c>
      <c r="U84" s="113">
        <v>45976</v>
      </c>
      <c r="V84" s="106" t="str">
        <v>OUI</v>
      </c>
      <c r="W84" s="106">
        <v>0</v>
      </c>
      <c r="X84" s="106">
        <v>60</v>
      </c>
      <c r="Y84" s="106">
        <v>43</v>
      </c>
    </row>
    <row r="85" spans="18:25" x14ac:dyDescent="0.25">
      <c r="R85" t="str">
        <v>09500117</v>
      </c>
      <c r="S85" t="str">
        <v>SAINT PAIR BRICQUEVILLE TT 2</v>
      </c>
      <c r="T85" s="113" t="str">
        <v>PN M</v>
      </c>
      <c r="U85" s="113">
        <v>46004</v>
      </c>
      <c r="V85" s="106" t="str">
        <v>OUI</v>
      </c>
      <c r="W85" s="106">
        <v>0</v>
      </c>
      <c r="X85" s="106">
        <v>46</v>
      </c>
      <c r="Y85" s="106">
        <v>38.799999999999997</v>
      </c>
    </row>
    <row r="86" spans="18:25" x14ac:dyDescent="0.25">
      <c r="R86" t="str">
        <v>09500117</v>
      </c>
      <c r="S86" t="str">
        <v>SAINT PAIR BRICQUEVILLE TT 3</v>
      </c>
      <c r="T86" s="113" t="str">
        <v>R1 M</v>
      </c>
      <c r="U86" s="113">
        <v>46004</v>
      </c>
      <c r="V86" s="106" t="str">
        <v>OUI</v>
      </c>
      <c r="W86" s="106">
        <v>0</v>
      </c>
      <c r="X86" s="106">
        <v>50</v>
      </c>
      <c r="Y86" s="106">
        <v>40</v>
      </c>
    </row>
    <row r="87" spans="18:25" x14ac:dyDescent="0.25">
      <c r="R87" t="str">
        <v>09500117</v>
      </c>
      <c r="S87" t="str">
        <v>SAINT PAIR BRICQUEVILLE TT 4</v>
      </c>
      <c r="T87" s="113" t="str">
        <v>R2 M</v>
      </c>
      <c r="U87" s="113">
        <v>46004</v>
      </c>
      <c r="V87" s="106" t="str">
        <v>OUI</v>
      </c>
      <c r="W87" s="106">
        <v>0</v>
      </c>
      <c r="X87" s="106">
        <v>50</v>
      </c>
      <c r="Y87" s="106">
        <v>40</v>
      </c>
    </row>
    <row r="88" spans="18:25" x14ac:dyDescent="0.25">
      <c r="R88" t="str">
        <v>09500117</v>
      </c>
      <c r="S88" t="str">
        <v>SAINT PAIR BRICQUEVILLE 1</v>
      </c>
      <c r="T88" s="113" t="str">
        <v>N2 M</v>
      </c>
      <c r="U88" s="113">
        <v>46004</v>
      </c>
      <c r="V88" s="106" t="str">
        <v>OUI</v>
      </c>
      <c r="W88" s="106">
        <v>0</v>
      </c>
      <c r="X88" s="106">
        <v>46</v>
      </c>
      <c r="Y88" s="106">
        <v>38.799999999999997</v>
      </c>
    </row>
    <row r="89" spans="18:25" x14ac:dyDescent="0.25">
      <c r="R89" t="str">
        <v>09500121</v>
      </c>
      <c r="S89" t="str">
        <v xml:space="preserve"> 	LA GLACERIE US  1</v>
      </c>
      <c r="T89" s="113" t="str">
        <v>R4 M</v>
      </c>
      <c r="U89" s="113">
        <v>45920</v>
      </c>
      <c r="V89" s="106" t="str">
        <v>OUI</v>
      </c>
      <c r="W89" s="106">
        <v>0</v>
      </c>
      <c r="X89" s="106">
        <v>42</v>
      </c>
      <c r="Y89" s="106">
        <v>37.6</v>
      </c>
    </row>
    <row r="90" spans="18:25" x14ac:dyDescent="0.25">
      <c r="R90" t="str">
        <v>09500121</v>
      </c>
      <c r="S90" t="str">
        <v xml:space="preserve"> 	LA GLACERIE US  1</v>
      </c>
      <c r="T90" s="113" t="str">
        <v>R4 M</v>
      </c>
      <c r="U90" s="113">
        <v>45941</v>
      </c>
      <c r="V90" s="106" t="str">
        <v>OUI</v>
      </c>
      <c r="W90" s="106">
        <v>0</v>
      </c>
      <c r="X90" s="106">
        <v>42</v>
      </c>
      <c r="Y90" s="106">
        <v>37.6</v>
      </c>
    </row>
    <row r="91" spans="18:25" x14ac:dyDescent="0.25">
      <c r="R91" t="str">
        <v>09500121</v>
      </c>
      <c r="S91" t="str">
        <v xml:space="preserve"> 	LA GLACERIE US  1</v>
      </c>
      <c r="T91" s="113" t="str">
        <v>R4 M</v>
      </c>
      <c r="U91" s="113">
        <v>45990</v>
      </c>
      <c r="V91" s="106" t="str">
        <v>OUI</v>
      </c>
      <c r="W91" s="106">
        <v>0</v>
      </c>
      <c r="X91" s="106">
        <v>0</v>
      </c>
      <c r="Y91" s="106">
        <v>25</v>
      </c>
    </row>
    <row r="92" spans="18:25" x14ac:dyDescent="0.25">
      <c r="R92" t="str">
        <v>09500121</v>
      </c>
      <c r="S92" t="str">
        <v xml:space="preserve"> 	LA GLACERIE US  1</v>
      </c>
      <c r="T92" s="113" t="str">
        <v>R4 M</v>
      </c>
      <c r="U92" s="113">
        <v>46032</v>
      </c>
      <c r="V92" s="106" t="str">
        <v>OUI</v>
      </c>
      <c r="W92" s="106">
        <v>0</v>
      </c>
      <c r="X92" s="106">
        <v>44</v>
      </c>
      <c r="Y92" s="106">
        <v>38.200000000000003</v>
      </c>
    </row>
    <row r="93" spans="18:25" x14ac:dyDescent="0.25">
      <c r="R93" t="str">
        <v>09500124</v>
      </c>
      <c r="S93" t="str">
        <v>LES PIEUX TT 1</v>
      </c>
      <c r="T93" s="113" t="str">
        <v>R2 M</v>
      </c>
      <c r="U93" s="113">
        <v>45928</v>
      </c>
      <c r="V93" s="106" t="str">
        <v>OUI</v>
      </c>
      <c r="W93" s="106">
        <v>0</v>
      </c>
      <c r="X93" s="106">
        <v>25</v>
      </c>
      <c r="Y93" s="106">
        <v>32.5</v>
      </c>
    </row>
    <row r="94" spans="18:25" x14ac:dyDescent="0.25">
      <c r="R94" t="str">
        <v>09500124</v>
      </c>
      <c r="S94" t="str">
        <v>LES PIEUX TT 1</v>
      </c>
      <c r="T94" s="113" t="str">
        <v>R2 M</v>
      </c>
      <c r="U94" s="113">
        <v>45991</v>
      </c>
      <c r="V94" s="106" t="str">
        <v>OUI</v>
      </c>
      <c r="W94" s="106">
        <v>0</v>
      </c>
      <c r="X94" s="106">
        <v>60</v>
      </c>
      <c r="Y94" s="106">
        <v>43</v>
      </c>
    </row>
    <row r="95" spans="18:25" x14ac:dyDescent="0.25">
      <c r="R95" t="str">
        <v>09500124</v>
      </c>
      <c r="S95" t="str">
        <v>LES PIEUX TT 1</v>
      </c>
      <c r="T95" s="113" t="str">
        <v>R2 M</v>
      </c>
      <c r="U95" s="113">
        <v>46033</v>
      </c>
      <c r="V95" s="106" t="str">
        <v>OUI</v>
      </c>
      <c r="W95" s="106">
        <v>0</v>
      </c>
      <c r="X95" s="106">
        <v>60</v>
      </c>
      <c r="Y95" s="106">
        <v>43</v>
      </c>
    </row>
    <row r="96" spans="18:25" x14ac:dyDescent="0.25">
      <c r="R96" t="str">
        <v>09500131</v>
      </c>
      <c r="S96" t="str">
        <v>MORTAIN ENT 1</v>
      </c>
      <c r="T96" s="113" t="str">
        <v>R2 M</v>
      </c>
      <c r="U96" s="113">
        <v>45927</v>
      </c>
      <c r="V96" s="106" t="str">
        <v>OUI</v>
      </c>
      <c r="W96" s="106">
        <v>0</v>
      </c>
      <c r="X96" s="106">
        <v>130</v>
      </c>
      <c r="Y96" s="106">
        <v>64</v>
      </c>
    </row>
    <row r="97" spans="18:25" x14ac:dyDescent="0.25">
      <c r="R97" t="str">
        <v>09500131</v>
      </c>
      <c r="S97" t="str">
        <v>MORTAIN ENT 1</v>
      </c>
      <c r="T97" s="113" t="str">
        <v>R2 M</v>
      </c>
      <c r="U97" s="113">
        <v>45976</v>
      </c>
      <c r="V97" s="106" t="str">
        <v>OUI</v>
      </c>
      <c r="W97" s="106">
        <v>0</v>
      </c>
      <c r="X97" s="106">
        <v>66</v>
      </c>
      <c r="Y97" s="106">
        <v>44.8</v>
      </c>
    </row>
    <row r="98" spans="18:25" x14ac:dyDescent="0.25">
      <c r="R98" t="str">
        <v>09500131</v>
      </c>
      <c r="S98" t="str">
        <v>MORTAIN ENT 1</v>
      </c>
      <c r="T98" s="113" t="str">
        <v>R2 M</v>
      </c>
      <c r="U98" s="113">
        <v>46032</v>
      </c>
      <c r="V98" s="106" t="str">
        <v>OUI</v>
      </c>
      <c r="W98" s="106">
        <v>0</v>
      </c>
      <c r="X98" s="106">
        <v>110</v>
      </c>
      <c r="Y98" s="106">
        <v>58</v>
      </c>
    </row>
    <row r="99" spans="18:25" x14ac:dyDescent="0.25">
      <c r="R99" t="str">
        <v>09500143</v>
      </c>
      <c r="S99" t="str">
        <v>ASSUN TT 1</v>
      </c>
      <c r="T99" s="113" t="str">
        <v>R2 M</v>
      </c>
      <c r="U99" s="113">
        <v>45920</v>
      </c>
      <c r="V99" s="106" t="str">
        <v>OUI</v>
      </c>
      <c r="W99" s="106">
        <v>0</v>
      </c>
      <c r="X99" s="106">
        <v>25</v>
      </c>
      <c r="Y99" s="106">
        <v>32.5</v>
      </c>
    </row>
    <row r="100" spans="18:25" x14ac:dyDescent="0.25">
      <c r="R100" t="str">
        <v>09500143</v>
      </c>
      <c r="S100" t="str">
        <v>ASSUN TT 1</v>
      </c>
      <c r="T100" s="113" t="str">
        <v>R2 M</v>
      </c>
      <c r="U100" s="113">
        <v>45976</v>
      </c>
      <c r="V100" s="106" t="str">
        <v>OUI</v>
      </c>
      <c r="W100" s="106">
        <v>0</v>
      </c>
      <c r="X100" s="106">
        <v>80</v>
      </c>
      <c r="Y100" s="106">
        <v>49</v>
      </c>
    </row>
    <row r="101" spans="18:25" x14ac:dyDescent="0.25">
      <c r="R101" t="str">
        <v>09500143</v>
      </c>
      <c r="S101" t="str">
        <v>ASSUN TT 1</v>
      </c>
      <c r="T101" s="113" t="str">
        <v>R2 M</v>
      </c>
      <c r="U101" s="113">
        <v>46004</v>
      </c>
      <c r="V101" s="106" t="str">
        <v>OUI</v>
      </c>
      <c r="W101" s="106">
        <v>0</v>
      </c>
      <c r="X101" s="106">
        <v>25</v>
      </c>
      <c r="Y101" s="106">
        <v>32.5</v>
      </c>
    </row>
    <row r="102" spans="18:25" x14ac:dyDescent="0.25">
      <c r="R102" t="str">
        <v>09500159</v>
      </c>
      <c r="S102" t="str">
        <v>ST PIERRE EGLISE 1</v>
      </c>
      <c r="T102" s="113" t="str">
        <v>R1 M</v>
      </c>
      <c r="U102" s="113">
        <v>45921</v>
      </c>
      <c r="V102" s="106" t="str">
        <v>OUI</v>
      </c>
      <c r="W102" s="106">
        <v>0</v>
      </c>
      <c r="X102" s="106">
        <v>20</v>
      </c>
      <c r="Y102" s="106">
        <v>31</v>
      </c>
    </row>
    <row r="103" spans="18:25" x14ac:dyDescent="0.25">
      <c r="R103" t="str">
        <v>09500159</v>
      </c>
      <c r="S103" t="str">
        <v>ST PIERRE EGLISE 1</v>
      </c>
      <c r="T103" s="113" t="str">
        <v>R1 M</v>
      </c>
      <c r="U103" s="113">
        <v>45942</v>
      </c>
      <c r="V103" s="106" t="str">
        <v>OUI</v>
      </c>
      <c r="W103" s="106">
        <v>0</v>
      </c>
      <c r="X103" s="106">
        <v>20</v>
      </c>
      <c r="Y103" s="106">
        <v>31</v>
      </c>
    </row>
    <row r="104" spans="18:25" x14ac:dyDescent="0.25">
      <c r="R104" t="str">
        <v>09500159</v>
      </c>
      <c r="S104" t="str">
        <v>ST PIERRE EGLISE 1</v>
      </c>
      <c r="T104" s="113" t="str">
        <v>R1 M</v>
      </c>
      <c r="U104" s="113">
        <v>45977</v>
      </c>
      <c r="V104" s="106" t="str">
        <v>OUI</v>
      </c>
      <c r="W104" s="106">
        <v>0</v>
      </c>
      <c r="X104" s="106">
        <v>26</v>
      </c>
      <c r="Y104" s="106">
        <v>32.799999999999997</v>
      </c>
    </row>
    <row r="105" spans="18:25" x14ac:dyDescent="0.25">
      <c r="R105" t="str">
        <v>09500159</v>
      </c>
      <c r="S105" t="str">
        <v>ST PIERRE EGLISE 1</v>
      </c>
      <c r="T105" s="113" t="str">
        <v>R1 M</v>
      </c>
      <c r="U105" s="113">
        <v>46005</v>
      </c>
      <c r="V105" s="106" t="str">
        <v>OUI</v>
      </c>
      <c r="W105" s="106">
        <v>0</v>
      </c>
      <c r="X105" s="106">
        <v>26</v>
      </c>
      <c r="Y105" s="106">
        <v>32.799999999999997</v>
      </c>
    </row>
  </sheetData>
  <conditionalFormatting sqref="C2:L26">
    <cfRule type="expression" dxfId="7" priority="1">
      <formula>ISNUMBER(FIND("F",C2))</formula>
    </cfRule>
    <cfRule type="expression" dxfId="6" priority="2">
      <formula>ISNUMBER(FIND("R4",C2))</formula>
    </cfRule>
    <cfRule type="expression" dxfId="5" priority="3">
      <formula>ISNUMBER(FIND("R2",C2))</formula>
    </cfRule>
    <cfRule type="expression" dxfId="4" priority="4">
      <formula>ISNUMBER(FIND("R1",C2))</formula>
    </cfRule>
    <cfRule type="expression" dxfId="3" priority="5">
      <formula>OR(ISNUMBER(FIND("PN",C2)),ISNUMBER(FIND("N",C2)))</formula>
    </cfRule>
    <cfRule type="expression" dxfId="2" priority="7">
      <formula>ISNUMBER(FIND(" F",C2))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9FCE7-4E8C-48BC-ABF6-48B97F5FACD1}">
  <sheetPr codeName="Feuil4"/>
  <dimension ref="A1:E238"/>
  <sheetViews>
    <sheetView topLeftCell="A142" workbookViewId="0">
      <selection activeCell="C160" sqref="C160"/>
    </sheetView>
  </sheetViews>
  <sheetFormatPr baseColWidth="10" defaultRowHeight="15" x14ac:dyDescent="0.25"/>
  <cols>
    <col min="2" max="2" width="20.5703125" customWidth="1"/>
    <col min="3" max="3" width="12.7109375" style="97" bestFit="1" customWidth="1"/>
    <col min="4" max="4" width="20.28515625" customWidth="1"/>
    <col min="5" max="5" width="78.28515625" bestFit="1" customWidth="1"/>
  </cols>
  <sheetData>
    <row r="1" spans="1:5" x14ac:dyDescent="0.25">
      <c r="A1" t="s">
        <v>2790</v>
      </c>
      <c r="B1" t="s">
        <v>2791</v>
      </c>
      <c r="C1" s="97" t="s">
        <v>2792</v>
      </c>
      <c r="D1" t="s">
        <v>2793</v>
      </c>
      <c r="E1" t="s">
        <v>2794</v>
      </c>
    </row>
    <row r="2" spans="1:5" ht="13.9" customHeight="1" x14ac:dyDescent="0.25">
      <c r="A2" t="s">
        <v>3335</v>
      </c>
      <c r="B2" t="s">
        <v>3888</v>
      </c>
      <c r="D2" t="s">
        <v>3336</v>
      </c>
      <c r="E2" s="99" t="s">
        <v>3337</v>
      </c>
    </row>
    <row r="3" spans="1:5" x14ac:dyDescent="0.25">
      <c r="A3" t="s">
        <v>538</v>
      </c>
      <c r="B3" t="s">
        <v>3889</v>
      </c>
      <c r="D3" t="s">
        <v>2797</v>
      </c>
      <c r="E3" s="99" t="s">
        <v>3338</v>
      </c>
    </row>
    <row r="4" spans="1:5" x14ac:dyDescent="0.25">
      <c r="A4" t="s">
        <v>404</v>
      </c>
      <c r="B4" t="s">
        <v>3890</v>
      </c>
      <c r="C4" s="97" t="s">
        <v>3339</v>
      </c>
      <c r="D4" t="s">
        <v>3340</v>
      </c>
      <c r="E4" s="99" t="s">
        <v>3341</v>
      </c>
    </row>
    <row r="5" spans="1:5" x14ac:dyDescent="0.25">
      <c r="A5" t="s">
        <v>864</v>
      </c>
      <c r="B5" t="s">
        <v>3891</v>
      </c>
      <c r="D5" t="s">
        <v>2805</v>
      </c>
      <c r="E5" s="99" t="s">
        <v>3342</v>
      </c>
    </row>
    <row r="6" spans="1:5" x14ac:dyDescent="0.25">
      <c r="A6" t="s">
        <v>623</v>
      </c>
      <c r="B6" t="s">
        <v>3892</v>
      </c>
      <c r="C6" s="97" t="s">
        <v>1689</v>
      </c>
      <c r="D6" t="s">
        <v>1688</v>
      </c>
      <c r="E6" s="99" t="s">
        <v>3343</v>
      </c>
    </row>
    <row r="7" spans="1:5" x14ac:dyDescent="0.25">
      <c r="A7" t="s">
        <v>1203</v>
      </c>
      <c r="B7" t="s">
        <v>3893</v>
      </c>
      <c r="D7" t="s">
        <v>2811</v>
      </c>
      <c r="E7" s="99" t="s">
        <v>3344</v>
      </c>
    </row>
    <row r="8" spans="1:5" x14ac:dyDescent="0.25">
      <c r="A8" t="s">
        <v>163</v>
      </c>
      <c r="B8" t="s">
        <v>3894</v>
      </c>
      <c r="D8" t="s">
        <v>3345</v>
      </c>
      <c r="E8" s="99" t="s">
        <v>3346</v>
      </c>
    </row>
    <row r="9" spans="1:5" x14ac:dyDescent="0.25">
      <c r="A9" t="s">
        <v>1439</v>
      </c>
      <c r="B9" t="s">
        <v>3895</v>
      </c>
      <c r="C9" s="97" t="s">
        <v>2187</v>
      </c>
      <c r="D9" t="s">
        <v>2186</v>
      </c>
      <c r="E9" s="99" t="s">
        <v>3347</v>
      </c>
    </row>
    <row r="10" spans="1:5" x14ac:dyDescent="0.25">
      <c r="A10" t="s">
        <v>1522</v>
      </c>
      <c r="B10" t="s">
        <v>3896</v>
      </c>
      <c r="C10" s="97" t="s">
        <v>3348</v>
      </c>
      <c r="D10" t="s">
        <v>3349</v>
      </c>
      <c r="E10" s="99" t="s">
        <v>3350</v>
      </c>
    </row>
    <row r="11" spans="1:5" x14ac:dyDescent="0.25">
      <c r="A11" t="s">
        <v>155</v>
      </c>
      <c r="B11" t="s">
        <v>3897</v>
      </c>
      <c r="D11" t="s">
        <v>2818</v>
      </c>
      <c r="E11" s="99" t="s">
        <v>3351</v>
      </c>
    </row>
    <row r="12" spans="1:5" x14ac:dyDescent="0.25">
      <c r="A12" t="s">
        <v>108</v>
      </c>
      <c r="B12" t="s">
        <v>3898</v>
      </c>
      <c r="D12" t="s">
        <v>1818</v>
      </c>
      <c r="E12" s="99" t="s">
        <v>3352</v>
      </c>
    </row>
    <row r="13" spans="1:5" x14ac:dyDescent="0.25">
      <c r="A13" t="s">
        <v>1316</v>
      </c>
      <c r="B13" t="s">
        <v>3899</v>
      </c>
      <c r="C13" s="97" t="s">
        <v>3353</v>
      </c>
      <c r="D13" t="s">
        <v>2824</v>
      </c>
      <c r="E13" s="99" t="s">
        <v>3354</v>
      </c>
    </row>
    <row r="14" spans="1:5" x14ac:dyDescent="0.25">
      <c r="A14" t="s">
        <v>3355</v>
      </c>
      <c r="B14" t="s">
        <v>3900</v>
      </c>
      <c r="C14" s="97" t="s">
        <v>3356</v>
      </c>
      <c r="D14" t="s">
        <v>3357</v>
      </c>
      <c r="E14" s="99" t="s">
        <v>3358</v>
      </c>
    </row>
    <row r="15" spans="1:5" x14ac:dyDescent="0.25">
      <c r="A15" t="s">
        <v>968</v>
      </c>
      <c r="B15" t="s">
        <v>3901</v>
      </c>
      <c r="C15" s="97" t="s">
        <v>2827</v>
      </c>
      <c r="D15" t="s">
        <v>2828</v>
      </c>
      <c r="E15" s="99" t="s">
        <v>3359</v>
      </c>
    </row>
    <row r="16" spans="1:5" x14ac:dyDescent="0.25">
      <c r="A16" t="s">
        <v>1414</v>
      </c>
      <c r="B16" t="s">
        <v>3902</v>
      </c>
      <c r="C16" s="97" t="s">
        <v>1558</v>
      </c>
      <c r="D16" t="s">
        <v>1557</v>
      </c>
      <c r="E16" s="99" t="s">
        <v>3360</v>
      </c>
    </row>
    <row r="17" spans="1:5" x14ac:dyDescent="0.25">
      <c r="A17" t="s">
        <v>823</v>
      </c>
      <c r="B17" t="s">
        <v>3903</v>
      </c>
      <c r="C17" s="97" t="s">
        <v>1453</v>
      </c>
      <c r="D17" t="s">
        <v>1452</v>
      </c>
      <c r="E17" s="99" t="s">
        <v>3361</v>
      </c>
    </row>
    <row r="18" spans="1:5" x14ac:dyDescent="0.25">
      <c r="A18" t="s">
        <v>1075</v>
      </c>
      <c r="B18" t="s">
        <v>3904</v>
      </c>
      <c r="C18" s="97" t="s">
        <v>3362</v>
      </c>
      <c r="D18" t="s">
        <v>2836</v>
      </c>
      <c r="E18" s="99" t="s">
        <v>3363</v>
      </c>
    </row>
    <row r="19" spans="1:5" x14ac:dyDescent="0.25">
      <c r="A19" t="s">
        <v>586</v>
      </c>
      <c r="B19" t="s">
        <v>3905</v>
      </c>
      <c r="C19" s="97" t="s">
        <v>4123</v>
      </c>
      <c r="D19" t="s">
        <v>3364</v>
      </c>
      <c r="E19" s="99" t="s">
        <v>3365</v>
      </c>
    </row>
    <row r="20" spans="1:5" x14ac:dyDescent="0.25">
      <c r="A20" t="s">
        <v>942</v>
      </c>
      <c r="B20" t="s">
        <v>3906</v>
      </c>
      <c r="D20" t="s">
        <v>1801</v>
      </c>
      <c r="E20" s="99" t="s">
        <v>3366</v>
      </c>
    </row>
    <row r="21" spans="1:5" x14ac:dyDescent="0.25">
      <c r="A21" t="s">
        <v>3367</v>
      </c>
      <c r="B21" t="s">
        <v>3907</v>
      </c>
      <c r="C21" s="97" t="s">
        <v>3368</v>
      </c>
      <c r="D21" t="s">
        <v>3369</v>
      </c>
      <c r="E21" s="99" t="s">
        <v>3370</v>
      </c>
    </row>
    <row r="22" spans="1:5" x14ac:dyDescent="0.25">
      <c r="A22" t="s">
        <v>56</v>
      </c>
      <c r="B22" t="s">
        <v>3908</v>
      </c>
      <c r="C22" s="97" t="s">
        <v>3371</v>
      </c>
      <c r="D22" t="s">
        <v>2843</v>
      </c>
      <c r="E22" s="99" t="s">
        <v>3372</v>
      </c>
    </row>
    <row r="23" spans="1:5" x14ac:dyDescent="0.25">
      <c r="A23" t="s">
        <v>3373</v>
      </c>
      <c r="B23" t="s">
        <v>3909</v>
      </c>
      <c r="C23" s="97" t="s">
        <v>3374</v>
      </c>
      <c r="D23" t="s">
        <v>3375</v>
      </c>
      <c r="E23" s="99" t="s">
        <v>3376</v>
      </c>
    </row>
    <row r="24" spans="1:5" x14ac:dyDescent="0.25">
      <c r="A24" t="s">
        <v>3377</v>
      </c>
      <c r="B24" t="s">
        <v>3910</v>
      </c>
      <c r="C24" s="97" t="s">
        <v>3378</v>
      </c>
      <c r="D24" t="s">
        <v>3379</v>
      </c>
      <c r="E24" s="99" t="s">
        <v>3380</v>
      </c>
    </row>
    <row r="25" spans="1:5" x14ac:dyDescent="0.25">
      <c r="A25" t="s">
        <v>66</v>
      </c>
      <c r="B25" t="s">
        <v>3911</v>
      </c>
      <c r="C25" s="97" t="s">
        <v>2846</v>
      </c>
      <c r="D25" t="s">
        <v>2847</v>
      </c>
      <c r="E25" s="99" t="s">
        <v>3381</v>
      </c>
    </row>
    <row r="26" spans="1:5" x14ac:dyDescent="0.25">
      <c r="A26" t="s">
        <v>3382</v>
      </c>
      <c r="B26" t="s">
        <v>3912</v>
      </c>
      <c r="C26" s="97" t="s">
        <v>3383</v>
      </c>
      <c r="D26" t="s">
        <v>3384</v>
      </c>
      <c r="E26" s="99" t="s">
        <v>3385</v>
      </c>
    </row>
    <row r="27" spans="1:5" x14ac:dyDescent="0.25">
      <c r="A27" t="s">
        <v>3386</v>
      </c>
      <c r="B27" t="s">
        <v>3913</v>
      </c>
      <c r="C27" s="97" t="s">
        <v>3387</v>
      </c>
      <c r="D27" t="s">
        <v>3388</v>
      </c>
      <c r="E27" s="99" t="s">
        <v>3389</v>
      </c>
    </row>
    <row r="28" spans="1:5" x14ac:dyDescent="0.25">
      <c r="A28" t="s">
        <v>3390</v>
      </c>
      <c r="B28" t="s">
        <v>3914</v>
      </c>
      <c r="C28" s="97" t="s">
        <v>3391</v>
      </c>
      <c r="D28" t="s">
        <v>3392</v>
      </c>
      <c r="E28" s="99" t="s">
        <v>3393</v>
      </c>
    </row>
    <row r="29" spans="1:5" x14ac:dyDescent="0.25">
      <c r="A29" t="s">
        <v>3394</v>
      </c>
      <c r="B29" t="s">
        <v>3915</v>
      </c>
      <c r="C29" s="97" t="s">
        <v>3395</v>
      </c>
      <c r="D29" t="s">
        <v>3396</v>
      </c>
      <c r="E29" s="99" t="s">
        <v>3397</v>
      </c>
    </row>
    <row r="30" spans="1:5" x14ac:dyDescent="0.25">
      <c r="A30" t="s">
        <v>1610</v>
      </c>
      <c r="B30" t="s">
        <v>3916</v>
      </c>
      <c r="C30" s="97" t="s">
        <v>3398</v>
      </c>
      <c r="D30" t="s">
        <v>3399</v>
      </c>
      <c r="E30" s="99" t="s">
        <v>3400</v>
      </c>
    </row>
    <row r="31" spans="1:5" x14ac:dyDescent="0.25">
      <c r="A31" t="s">
        <v>3401</v>
      </c>
      <c r="B31" t="s">
        <v>3917</v>
      </c>
      <c r="C31" s="97" t="s">
        <v>3402</v>
      </c>
      <c r="D31" t="s">
        <v>3403</v>
      </c>
      <c r="E31" s="99" t="s">
        <v>3404</v>
      </c>
    </row>
    <row r="32" spans="1:5" x14ac:dyDescent="0.25">
      <c r="A32" t="s">
        <v>2219</v>
      </c>
      <c r="B32" t="s">
        <v>3918</v>
      </c>
      <c r="C32" s="97" t="s">
        <v>3405</v>
      </c>
      <c r="D32" t="s">
        <v>2851</v>
      </c>
      <c r="E32" s="99" t="s">
        <v>3406</v>
      </c>
    </row>
    <row r="33" spans="1:5" x14ac:dyDescent="0.25">
      <c r="A33" t="s">
        <v>3407</v>
      </c>
      <c r="B33" t="s">
        <v>3919</v>
      </c>
      <c r="C33" s="97" t="s">
        <v>3408</v>
      </c>
      <c r="D33" t="s">
        <v>3409</v>
      </c>
      <c r="E33" s="99" t="s">
        <v>3410</v>
      </c>
    </row>
    <row r="34" spans="1:5" x14ac:dyDescent="0.25">
      <c r="A34" t="s">
        <v>345</v>
      </c>
      <c r="B34" t="s">
        <v>3920</v>
      </c>
      <c r="D34" t="s">
        <v>343</v>
      </c>
      <c r="E34" s="99" t="s">
        <v>3411</v>
      </c>
    </row>
    <row r="35" spans="1:5" x14ac:dyDescent="0.25">
      <c r="A35" t="s">
        <v>3412</v>
      </c>
      <c r="B35" t="s">
        <v>3921</v>
      </c>
      <c r="C35" s="97" t="s">
        <v>3413</v>
      </c>
      <c r="D35" t="s">
        <v>3414</v>
      </c>
      <c r="E35" s="99" t="s">
        <v>3415</v>
      </c>
    </row>
    <row r="36" spans="1:5" x14ac:dyDescent="0.25">
      <c r="A36" t="s">
        <v>3416</v>
      </c>
      <c r="B36" t="s">
        <v>3922</v>
      </c>
      <c r="C36" s="97" t="s">
        <v>3417</v>
      </c>
      <c r="D36" t="s">
        <v>3418</v>
      </c>
      <c r="E36" s="99" t="s">
        <v>3419</v>
      </c>
    </row>
    <row r="37" spans="1:5" x14ac:dyDescent="0.25">
      <c r="A37" t="s">
        <v>3420</v>
      </c>
      <c r="B37" t="s">
        <v>3923</v>
      </c>
      <c r="D37" t="s">
        <v>3421</v>
      </c>
      <c r="E37" s="99" t="s">
        <v>3422</v>
      </c>
    </row>
    <row r="38" spans="1:5" x14ac:dyDescent="0.25">
      <c r="A38" t="s">
        <v>3423</v>
      </c>
      <c r="B38" t="s">
        <v>3924</v>
      </c>
      <c r="C38" s="97" t="s">
        <v>3424</v>
      </c>
      <c r="D38" t="s">
        <v>3425</v>
      </c>
      <c r="E38" s="99" t="s">
        <v>3426</v>
      </c>
    </row>
    <row r="39" spans="1:5" x14ac:dyDescent="0.25">
      <c r="A39" t="s">
        <v>1003</v>
      </c>
      <c r="B39" t="s">
        <v>3925</v>
      </c>
      <c r="C39" s="97" t="s">
        <v>2856</v>
      </c>
      <c r="D39" t="s">
        <v>2857</v>
      </c>
      <c r="E39" s="99" t="s">
        <v>3427</v>
      </c>
    </row>
    <row r="40" spans="1:5" x14ac:dyDescent="0.25">
      <c r="A40" t="s">
        <v>1306</v>
      </c>
      <c r="B40" t="s">
        <v>3926</v>
      </c>
      <c r="D40" t="s">
        <v>2861</v>
      </c>
      <c r="E40" s="99" t="s">
        <v>3428</v>
      </c>
    </row>
    <row r="41" spans="1:5" x14ac:dyDescent="0.25">
      <c r="A41" t="s">
        <v>2723</v>
      </c>
      <c r="B41" t="s">
        <v>3927</v>
      </c>
      <c r="C41" s="97" t="s">
        <v>2864</v>
      </c>
      <c r="D41" t="s">
        <v>2865</v>
      </c>
      <c r="E41" s="99" t="s">
        <v>3429</v>
      </c>
    </row>
    <row r="42" spans="1:5" x14ac:dyDescent="0.25">
      <c r="A42" t="s">
        <v>77</v>
      </c>
      <c r="B42" t="s">
        <v>3928</v>
      </c>
      <c r="C42" s="97" t="s">
        <v>4124</v>
      </c>
      <c r="D42" t="s">
        <v>3430</v>
      </c>
      <c r="E42" s="99" t="s">
        <v>3431</v>
      </c>
    </row>
    <row r="43" spans="1:5" x14ac:dyDescent="0.25">
      <c r="A43" t="s">
        <v>3432</v>
      </c>
      <c r="B43" t="s">
        <v>3929</v>
      </c>
      <c r="C43" s="97" t="s">
        <v>3433</v>
      </c>
      <c r="D43" t="s">
        <v>3434</v>
      </c>
      <c r="E43" s="99" t="s">
        <v>3435</v>
      </c>
    </row>
    <row r="44" spans="1:5" x14ac:dyDescent="0.25">
      <c r="A44" t="s">
        <v>236</v>
      </c>
      <c r="B44" t="s">
        <v>3930</v>
      </c>
      <c r="C44" s="97" t="s">
        <v>235</v>
      </c>
      <c r="D44" t="s">
        <v>234</v>
      </c>
      <c r="E44" s="99" t="s">
        <v>3436</v>
      </c>
    </row>
    <row r="45" spans="1:5" x14ac:dyDescent="0.25">
      <c r="A45" t="s">
        <v>274</v>
      </c>
      <c r="B45" t="s">
        <v>3931</v>
      </c>
      <c r="C45" s="97" t="s">
        <v>272</v>
      </c>
      <c r="D45" t="s">
        <v>271</v>
      </c>
      <c r="E45" s="99" t="s">
        <v>3437</v>
      </c>
    </row>
    <row r="46" spans="1:5" x14ac:dyDescent="0.25">
      <c r="A46" t="s">
        <v>2872</v>
      </c>
      <c r="B46" t="s">
        <v>3932</v>
      </c>
      <c r="C46" s="97" t="s">
        <v>3438</v>
      </c>
      <c r="D46" t="s">
        <v>2875</v>
      </c>
      <c r="E46" s="99" t="s">
        <v>3439</v>
      </c>
    </row>
    <row r="47" spans="1:5" x14ac:dyDescent="0.25">
      <c r="A47" t="s">
        <v>2349</v>
      </c>
      <c r="B47" t="s">
        <v>3933</v>
      </c>
      <c r="D47" t="s">
        <v>3440</v>
      </c>
      <c r="E47" s="99" t="s">
        <v>3441</v>
      </c>
    </row>
    <row r="48" spans="1:5" x14ac:dyDescent="0.25">
      <c r="A48" t="s">
        <v>3442</v>
      </c>
      <c r="B48" t="s">
        <v>3934</v>
      </c>
      <c r="D48" t="s">
        <v>3443</v>
      </c>
      <c r="E48" s="99" t="s">
        <v>3444</v>
      </c>
    </row>
    <row r="49" spans="1:5" x14ac:dyDescent="0.25">
      <c r="A49" t="s">
        <v>305</v>
      </c>
      <c r="B49" t="s">
        <v>3935</v>
      </c>
      <c r="C49" s="97" t="s">
        <v>303</v>
      </c>
      <c r="D49" t="s">
        <v>302</v>
      </c>
      <c r="E49" s="99" t="s">
        <v>2878</v>
      </c>
    </row>
    <row r="50" spans="1:5" x14ac:dyDescent="0.25">
      <c r="A50" t="s">
        <v>2323</v>
      </c>
      <c r="B50" t="s">
        <v>3936</v>
      </c>
      <c r="C50" s="97" t="s">
        <v>2880</v>
      </c>
      <c r="D50" t="s">
        <v>2881</v>
      </c>
      <c r="E50" s="99" t="s">
        <v>3445</v>
      </c>
    </row>
    <row r="51" spans="1:5" x14ac:dyDescent="0.25">
      <c r="A51" t="s">
        <v>284</v>
      </c>
      <c r="B51" t="s">
        <v>3937</v>
      </c>
      <c r="C51" s="97" t="s">
        <v>283</v>
      </c>
      <c r="D51" t="s">
        <v>282</v>
      </c>
      <c r="E51" s="99" t="s">
        <v>3446</v>
      </c>
    </row>
    <row r="52" spans="1:5" x14ac:dyDescent="0.25">
      <c r="A52" t="s">
        <v>3447</v>
      </c>
      <c r="B52" t="s">
        <v>3938</v>
      </c>
      <c r="D52" t="s">
        <v>3448</v>
      </c>
      <c r="E52" s="99" t="s">
        <v>3449</v>
      </c>
    </row>
    <row r="53" spans="1:5" x14ac:dyDescent="0.25">
      <c r="A53" t="s">
        <v>3450</v>
      </c>
      <c r="B53" t="s">
        <v>3939</v>
      </c>
      <c r="C53" s="97" t="s">
        <v>3451</v>
      </c>
      <c r="D53" t="s">
        <v>3452</v>
      </c>
      <c r="E53" s="99" t="s">
        <v>3453</v>
      </c>
    </row>
    <row r="54" spans="1:5" x14ac:dyDescent="0.25">
      <c r="A54" t="s">
        <v>2726</v>
      </c>
      <c r="B54" t="s">
        <v>3940</v>
      </c>
      <c r="C54" s="97" t="s">
        <v>3454</v>
      </c>
      <c r="D54" t="s">
        <v>2887</v>
      </c>
      <c r="E54" s="99" t="s">
        <v>3455</v>
      </c>
    </row>
    <row r="55" spans="1:5" x14ac:dyDescent="0.25">
      <c r="A55" t="s">
        <v>2145</v>
      </c>
      <c r="B55" t="s">
        <v>3941</v>
      </c>
      <c r="C55" s="97" t="s">
        <v>2143</v>
      </c>
      <c r="D55" t="s">
        <v>2142</v>
      </c>
      <c r="E55" s="99" t="s">
        <v>2890</v>
      </c>
    </row>
    <row r="56" spans="1:5" x14ac:dyDescent="0.25">
      <c r="A56" t="s">
        <v>1170</v>
      </c>
      <c r="B56" t="s">
        <v>3942</v>
      </c>
      <c r="D56" t="s">
        <v>1330</v>
      </c>
      <c r="E56" s="99" t="s">
        <v>3456</v>
      </c>
    </row>
    <row r="57" spans="1:5" x14ac:dyDescent="0.25">
      <c r="A57" t="s">
        <v>3457</v>
      </c>
      <c r="B57" t="s">
        <v>3943</v>
      </c>
      <c r="C57" s="97" t="s">
        <v>3458</v>
      </c>
      <c r="D57" t="s">
        <v>3459</v>
      </c>
      <c r="E57" s="99" t="s">
        <v>3460</v>
      </c>
    </row>
    <row r="58" spans="1:5" x14ac:dyDescent="0.25">
      <c r="A58" t="s">
        <v>2698</v>
      </c>
      <c r="B58" t="s">
        <v>3944</v>
      </c>
      <c r="C58" s="97" t="s">
        <v>3461</v>
      </c>
      <c r="D58" t="s">
        <v>2893</v>
      </c>
      <c r="E58" s="99" t="s">
        <v>3462</v>
      </c>
    </row>
    <row r="59" spans="1:5" x14ac:dyDescent="0.25">
      <c r="A59" t="s">
        <v>1286</v>
      </c>
      <c r="B59" t="s">
        <v>3945</v>
      </c>
      <c r="C59" s="97" t="s">
        <v>1514</v>
      </c>
      <c r="D59" t="s">
        <v>1513</v>
      </c>
      <c r="E59" s="99" t="s">
        <v>2896</v>
      </c>
    </row>
    <row r="60" spans="1:5" x14ac:dyDescent="0.25">
      <c r="A60" t="s">
        <v>1826</v>
      </c>
      <c r="B60" t="s">
        <v>3946</v>
      </c>
      <c r="C60" s="97" t="s">
        <v>3463</v>
      </c>
      <c r="D60" t="s">
        <v>2899</v>
      </c>
      <c r="E60" s="99" t="s">
        <v>3464</v>
      </c>
    </row>
    <row r="61" spans="1:5" x14ac:dyDescent="0.25">
      <c r="A61" t="s">
        <v>1049</v>
      </c>
      <c r="B61" t="s">
        <v>3947</v>
      </c>
      <c r="C61" s="97" t="s">
        <v>1047</v>
      </c>
      <c r="D61" t="s">
        <v>1046</v>
      </c>
      <c r="E61" s="99" t="s">
        <v>3465</v>
      </c>
    </row>
    <row r="62" spans="1:5" x14ac:dyDescent="0.25">
      <c r="A62" t="s">
        <v>3466</v>
      </c>
      <c r="B62" t="s">
        <v>3948</v>
      </c>
      <c r="C62" s="97" t="s">
        <v>3467</v>
      </c>
      <c r="D62" t="s">
        <v>3468</v>
      </c>
      <c r="E62" s="99" t="s">
        <v>3469</v>
      </c>
    </row>
    <row r="63" spans="1:5" x14ac:dyDescent="0.25">
      <c r="A63" t="s">
        <v>3470</v>
      </c>
      <c r="B63" t="s">
        <v>3949</v>
      </c>
      <c r="C63" s="97" t="s">
        <v>3471</v>
      </c>
      <c r="D63" t="s">
        <v>3472</v>
      </c>
      <c r="E63" s="99" t="s">
        <v>3473</v>
      </c>
    </row>
    <row r="64" spans="1:5" x14ac:dyDescent="0.25">
      <c r="A64" t="s">
        <v>754</v>
      </c>
      <c r="B64" t="s">
        <v>3950</v>
      </c>
      <c r="D64" t="s">
        <v>752</v>
      </c>
      <c r="E64" s="99" t="s">
        <v>3474</v>
      </c>
    </row>
    <row r="65" spans="1:5" x14ac:dyDescent="0.25">
      <c r="A65" t="s">
        <v>2473</v>
      </c>
      <c r="B65" t="s">
        <v>3951</v>
      </c>
      <c r="D65" t="s">
        <v>2903</v>
      </c>
      <c r="E65" s="99" t="s">
        <v>3475</v>
      </c>
    </row>
    <row r="66" spans="1:5" x14ac:dyDescent="0.25">
      <c r="A66" t="s">
        <v>3476</v>
      </c>
      <c r="B66" t="s">
        <v>3952</v>
      </c>
      <c r="D66" t="s">
        <v>3477</v>
      </c>
      <c r="E66" s="99" t="s">
        <v>3478</v>
      </c>
    </row>
    <row r="67" spans="1:5" x14ac:dyDescent="0.25">
      <c r="A67" t="s">
        <v>1222</v>
      </c>
      <c r="B67" t="s">
        <v>3953</v>
      </c>
      <c r="C67" s="97" t="s">
        <v>3479</v>
      </c>
      <c r="D67" t="s">
        <v>3480</v>
      </c>
      <c r="E67" s="99" t="s">
        <v>3481</v>
      </c>
    </row>
    <row r="68" spans="1:5" x14ac:dyDescent="0.25">
      <c r="A68" t="s">
        <v>717</v>
      </c>
      <c r="B68" t="s">
        <v>3954</v>
      </c>
      <c r="C68" s="97" t="s">
        <v>3179</v>
      </c>
      <c r="D68" t="s">
        <v>3482</v>
      </c>
      <c r="E68" s="99" t="s">
        <v>3483</v>
      </c>
    </row>
    <row r="69" spans="1:5" x14ac:dyDescent="0.25">
      <c r="A69" t="s">
        <v>1030</v>
      </c>
      <c r="B69" t="s">
        <v>3955</v>
      </c>
      <c r="C69" s="97" t="s">
        <v>3484</v>
      </c>
      <c r="D69" t="s">
        <v>3485</v>
      </c>
      <c r="E69" s="99" t="s">
        <v>3486</v>
      </c>
    </row>
    <row r="70" spans="1:5" x14ac:dyDescent="0.25">
      <c r="A70" t="s">
        <v>2709</v>
      </c>
      <c r="B70" t="s">
        <v>3956</v>
      </c>
      <c r="C70" s="97" t="s">
        <v>3487</v>
      </c>
      <c r="D70" t="s">
        <v>3488</v>
      </c>
      <c r="E70" s="99" t="s">
        <v>3489</v>
      </c>
    </row>
    <row r="71" spans="1:5" x14ac:dyDescent="0.25">
      <c r="A71" t="s">
        <v>3490</v>
      </c>
      <c r="B71" t="s">
        <v>3957</v>
      </c>
      <c r="C71" s="97" t="s">
        <v>3491</v>
      </c>
      <c r="D71" t="s">
        <v>3492</v>
      </c>
      <c r="E71" s="99" t="s">
        <v>3493</v>
      </c>
    </row>
    <row r="72" spans="1:5" x14ac:dyDescent="0.25">
      <c r="A72" t="s">
        <v>2704</v>
      </c>
      <c r="B72" t="s">
        <v>3958</v>
      </c>
      <c r="D72" t="s">
        <v>2912</v>
      </c>
      <c r="E72" s="99" t="s">
        <v>3494</v>
      </c>
    </row>
    <row r="73" spans="1:5" x14ac:dyDescent="0.25">
      <c r="A73" t="s">
        <v>3495</v>
      </c>
      <c r="B73" t="s">
        <v>3959</v>
      </c>
      <c r="C73" s="97" t="s">
        <v>3496</v>
      </c>
      <c r="D73" t="s">
        <v>3497</v>
      </c>
      <c r="E73" s="99" t="s">
        <v>3498</v>
      </c>
    </row>
    <row r="74" spans="1:5" x14ac:dyDescent="0.25">
      <c r="A74" t="s">
        <v>3499</v>
      </c>
      <c r="B74" t="s">
        <v>3960</v>
      </c>
      <c r="C74" s="97" t="s">
        <v>3500</v>
      </c>
      <c r="D74" t="s">
        <v>3501</v>
      </c>
      <c r="E74" s="99" t="s">
        <v>3502</v>
      </c>
    </row>
    <row r="75" spans="1:5" x14ac:dyDescent="0.25">
      <c r="A75" t="s">
        <v>3503</v>
      </c>
      <c r="B75" t="s">
        <v>3961</v>
      </c>
      <c r="D75" t="s">
        <v>3504</v>
      </c>
      <c r="E75" s="99" t="s">
        <v>3505</v>
      </c>
    </row>
    <row r="76" spans="1:5" x14ac:dyDescent="0.25">
      <c r="A76" t="s">
        <v>219</v>
      </c>
      <c r="B76" t="s">
        <v>3962</v>
      </c>
      <c r="C76" s="97" t="s">
        <v>3506</v>
      </c>
      <c r="D76" t="s">
        <v>3507</v>
      </c>
      <c r="E76" s="99" t="s">
        <v>3508</v>
      </c>
    </row>
    <row r="77" spans="1:5" x14ac:dyDescent="0.25">
      <c r="A77" t="s">
        <v>1913</v>
      </c>
      <c r="B77" t="s">
        <v>3963</v>
      </c>
      <c r="D77" t="s">
        <v>3509</v>
      </c>
      <c r="E77" s="99" t="s">
        <v>3510</v>
      </c>
    </row>
    <row r="78" spans="1:5" x14ac:dyDescent="0.25">
      <c r="A78" t="s">
        <v>3511</v>
      </c>
      <c r="B78" t="s">
        <v>3964</v>
      </c>
      <c r="D78" t="s">
        <v>3512</v>
      </c>
      <c r="E78" s="99" t="s">
        <v>3513</v>
      </c>
    </row>
    <row r="79" spans="1:5" x14ac:dyDescent="0.25">
      <c r="A79" t="s">
        <v>367</v>
      </c>
      <c r="B79" t="s">
        <v>3965</v>
      </c>
      <c r="C79" s="97" t="s">
        <v>3514</v>
      </c>
      <c r="D79" t="s">
        <v>2920</v>
      </c>
      <c r="E79" s="99" t="s">
        <v>3515</v>
      </c>
    </row>
    <row r="80" spans="1:5" x14ac:dyDescent="0.25">
      <c r="A80" t="s">
        <v>3516</v>
      </c>
      <c r="B80" t="s">
        <v>3966</v>
      </c>
      <c r="C80" s="97" t="s">
        <v>3517</v>
      </c>
      <c r="D80" t="s">
        <v>3518</v>
      </c>
      <c r="E80" s="99" t="s">
        <v>3519</v>
      </c>
    </row>
    <row r="81" spans="1:5" x14ac:dyDescent="0.25">
      <c r="A81" t="s">
        <v>3520</v>
      </c>
      <c r="B81" t="s">
        <v>3967</v>
      </c>
      <c r="C81" s="97" t="s">
        <v>3521</v>
      </c>
      <c r="D81" t="s">
        <v>3522</v>
      </c>
      <c r="E81" s="99" t="s">
        <v>3523</v>
      </c>
    </row>
    <row r="82" spans="1:5" x14ac:dyDescent="0.25">
      <c r="A82" t="s">
        <v>597</v>
      </c>
      <c r="B82" t="s">
        <v>3968</v>
      </c>
      <c r="C82" s="97" t="s">
        <v>3524</v>
      </c>
      <c r="D82" t="s">
        <v>2924</v>
      </c>
      <c r="E82" s="99" t="s">
        <v>3525</v>
      </c>
    </row>
    <row r="83" spans="1:5" x14ac:dyDescent="0.25">
      <c r="A83" t="s">
        <v>3526</v>
      </c>
      <c r="B83" t="s">
        <v>3969</v>
      </c>
      <c r="C83" s="97" t="s">
        <v>3527</v>
      </c>
      <c r="D83" t="s">
        <v>3528</v>
      </c>
      <c r="E83" s="99" t="s">
        <v>3529</v>
      </c>
    </row>
    <row r="84" spans="1:5" x14ac:dyDescent="0.25">
      <c r="A84" t="s">
        <v>1468</v>
      </c>
      <c r="B84" t="s">
        <v>3970</v>
      </c>
      <c r="D84" t="s">
        <v>2928</v>
      </c>
      <c r="E84" s="99" t="s">
        <v>3530</v>
      </c>
    </row>
    <row r="85" spans="1:5" x14ac:dyDescent="0.25">
      <c r="A85" t="s">
        <v>173</v>
      </c>
      <c r="B85" t="s">
        <v>3971</v>
      </c>
      <c r="D85" t="s">
        <v>3531</v>
      </c>
      <c r="E85" s="99" t="s">
        <v>3532</v>
      </c>
    </row>
    <row r="86" spans="1:5" x14ac:dyDescent="0.25">
      <c r="A86" t="s">
        <v>1714</v>
      </c>
      <c r="B86" t="s">
        <v>2934</v>
      </c>
      <c r="C86" s="97" t="s">
        <v>3533</v>
      </c>
      <c r="D86" t="s">
        <v>2936</v>
      </c>
      <c r="E86" s="99" t="s">
        <v>3534</v>
      </c>
    </row>
    <row r="87" spans="1:5" x14ac:dyDescent="0.25">
      <c r="A87" t="s">
        <v>294</v>
      </c>
      <c r="B87" t="s">
        <v>3972</v>
      </c>
      <c r="D87" t="s">
        <v>2940</v>
      </c>
      <c r="E87" s="99" t="s">
        <v>3535</v>
      </c>
    </row>
    <row r="88" spans="1:5" x14ac:dyDescent="0.25">
      <c r="A88" t="s">
        <v>98</v>
      </c>
      <c r="B88" t="s">
        <v>3973</v>
      </c>
      <c r="D88" t="s">
        <v>1186</v>
      </c>
      <c r="E88" s="99" t="s">
        <v>3536</v>
      </c>
    </row>
    <row r="89" spans="1:5" x14ac:dyDescent="0.25">
      <c r="A89" t="s">
        <v>3537</v>
      </c>
      <c r="B89" t="s">
        <v>3974</v>
      </c>
      <c r="C89" s="97" t="s">
        <v>3538</v>
      </c>
      <c r="D89" t="s">
        <v>3539</v>
      </c>
      <c r="E89" s="99" t="s">
        <v>3540</v>
      </c>
    </row>
    <row r="90" spans="1:5" x14ac:dyDescent="0.25">
      <c r="A90" t="s">
        <v>707</v>
      </c>
      <c r="B90" t="s">
        <v>3975</v>
      </c>
      <c r="D90" t="s">
        <v>2946</v>
      </c>
      <c r="E90" s="99" t="s">
        <v>3541</v>
      </c>
    </row>
    <row r="91" spans="1:5" x14ac:dyDescent="0.25">
      <c r="A91" t="s">
        <v>1179</v>
      </c>
      <c r="B91" t="s">
        <v>3542</v>
      </c>
      <c r="D91" t="s">
        <v>2950</v>
      </c>
      <c r="E91" s="99" t="s">
        <v>3543</v>
      </c>
    </row>
    <row r="92" spans="1:5" x14ac:dyDescent="0.25">
      <c r="A92" t="s">
        <v>1985</v>
      </c>
      <c r="B92" t="s">
        <v>3976</v>
      </c>
      <c r="C92" s="97" t="s">
        <v>1983</v>
      </c>
      <c r="D92" t="s">
        <v>1982</v>
      </c>
      <c r="E92" s="99" t="s">
        <v>3544</v>
      </c>
    </row>
    <row r="93" spans="1:5" x14ac:dyDescent="0.25">
      <c r="A93" t="s">
        <v>145</v>
      </c>
      <c r="B93" t="s">
        <v>3977</v>
      </c>
      <c r="D93" t="s">
        <v>837</v>
      </c>
      <c r="E93" s="99" t="s">
        <v>3545</v>
      </c>
    </row>
    <row r="94" spans="1:5" x14ac:dyDescent="0.25">
      <c r="A94" t="s">
        <v>246</v>
      </c>
      <c r="B94" t="s">
        <v>3978</v>
      </c>
      <c r="C94" s="97" t="s">
        <v>314</v>
      </c>
      <c r="D94" t="s">
        <v>313</v>
      </c>
      <c r="E94" s="99" t="s">
        <v>3546</v>
      </c>
    </row>
    <row r="95" spans="1:5" x14ac:dyDescent="0.25">
      <c r="A95" t="s">
        <v>854</v>
      </c>
      <c r="B95" t="s">
        <v>3979</v>
      </c>
      <c r="D95" t="s">
        <v>2958</v>
      </c>
      <c r="E95" s="99" t="s">
        <v>3547</v>
      </c>
    </row>
    <row r="96" spans="1:5" x14ac:dyDescent="0.25">
      <c r="A96" t="s">
        <v>3548</v>
      </c>
      <c r="B96" t="s">
        <v>3980</v>
      </c>
      <c r="C96" s="97" t="s">
        <v>3549</v>
      </c>
      <c r="D96" t="s">
        <v>3550</v>
      </c>
      <c r="E96" s="99" t="s">
        <v>3551</v>
      </c>
    </row>
    <row r="97" spans="1:5" x14ac:dyDescent="0.25">
      <c r="A97" t="s">
        <v>478</v>
      </c>
      <c r="B97" t="s">
        <v>3981</v>
      </c>
      <c r="C97" s="97" t="s">
        <v>3552</v>
      </c>
      <c r="D97" t="s">
        <v>2962</v>
      </c>
      <c r="E97" s="99" t="s">
        <v>3553</v>
      </c>
    </row>
    <row r="98" spans="1:5" x14ac:dyDescent="0.25">
      <c r="A98" t="s">
        <v>1591</v>
      </c>
      <c r="B98" t="s">
        <v>3982</v>
      </c>
      <c r="D98" t="s">
        <v>2966</v>
      </c>
      <c r="E98" s="99" t="s">
        <v>3554</v>
      </c>
    </row>
    <row r="99" spans="1:5" x14ac:dyDescent="0.25">
      <c r="A99" t="s">
        <v>765</v>
      </c>
      <c r="B99" t="s">
        <v>3983</v>
      </c>
      <c r="C99" s="97" t="s">
        <v>763</v>
      </c>
      <c r="D99" t="s">
        <v>762</v>
      </c>
      <c r="E99" s="99" t="s">
        <v>3555</v>
      </c>
    </row>
    <row r="100" spans="1:5" x14ac:dyDescent="0.25">
      <c r="A100" t="s">
        <v>2495</v>
      </c>
      <c r="B100" t="s">
        <v>3984</v>
      </c>
      <c r="D100" t="s">
        <v>2970</v>
      </c>
      <c r="E100" s="99" t="s">
        <v>3556</v>
      </c>
    </row>
    <row r="101" spans="1:5" x14ac:dyDescent="0.25">
      <c r="A101" t="s">
        <v>1533</v>
      </c>
      <c r="B101" t="s">
        <v>3985</v>
      </c>
      <c r="C101" s="97" t="s">
        <v>4125</v>
      </c>
      <c r="D101" t="s">
        <v>3557</v>
      </c>
      <c r="E101" s="99" t="s">
        <v>3558</v>
      </c>
    </row>
    <row r="102" spans="1:5" x14ac:dyDescent="0.25">
      <c r="A102" t="s">
        <v>3559</v>
      </c>
      <c r="B102" t="s">
        <v>3986</v>
      </c>
      <c r="C102" s="97" t="s">
        <v>3560</v>
      </c>
      <c r="D102" t="s">
        <v>3561</v>
      </c>
      <c r="E102" s="99" t="s">
        <v>3562</v>
      </c>
    </row>
    <row r="103" spans="1:5" x14ac:dyDescent="0.25">
      <c r="A103" t="s">
        <v>1213</v>
      </c>
      <c r="B103" t="s">
        <v>3987</v>
      </c>
      <c r="D103" t="s">
        <v>3563</v>
      </c>
      <c r="E103" s="99" t="s">
        <v>3564</v>
      </c>
    </row>
    <row r="104" spans="1:5" x14ac:dyDescent="0.25">
      <c r="A104" t="s">
        <v>1296</v>
      </c>
      <c r="B104" t="s">
        <v>3988</v>
      </c>
      <c r="C104" s="97" t="s">
        <v>1294</v>
      </c>
      <c r="D104" t="s">
        <v>1293</v>
      </c>
      <c r="E104" s="99" t="s">
        <v>3565</v>
      </c>
    </row>
    <row r="105" spans="1:5" x14ac:dyDescent="0.25">
      <c r="A105" t="s">
        <v>3566</v>
      </c>
      <c r="B105" t="s">
        <v>3989</v>
      </c>
      <c r="D105" t="s">
        <v>3567</v>
      </c>
      <c r="E105" s="99" t="s">
        <v>3568</v>
      </c>
    </row>
    <row r="106" spans="1:5" x14ac:dyDescent="0.25">
      <c r="A106" t="s">
        <v>1574</v>
      </c>
      <c r="B106" t="s">
        <v>3990</v>
      </c>
      <c r="D106" t="s">
        <v>3569</v>
      </c>
      <c r="E106" s="99" t="s">
        <v>3570</v>
      </c>
    </row>
    <row r="107" spans="1:5" x14ac:dyDescent="0.25">
      <c r="A107" t="s">
        <v>691</v>
      </c>
      <c r="B107" t="s">
        <v>3991</v>
      </c>
      <c r="C107" s="97" t="s">
        <v>3571</v>
      </c>
      <c r="D107" t="s">
        <v>2979</v>
      </c>
      <c r="E107" s="99" t="s">
        <v>3572</v>
      </c>
    </row>
    <row r="108" spans="1:5" x14ac:dyDescent="0.25">
      <c r="A108" t="s">
        <v>1374</v>
      </c>
      <c r="B108" t="s">
        <v>3992</v>
      </c>
      <c r="C108" s="97" t="s">
        <v>1372</v>
      </c>
      <c r="D108" t="s">
        <v>1371</v>
      </c>
      <c r="E108" s="99" t="s">
        <v>3573</v>
      </c>
    </row>
    <row r="109" spans="1:5" x14ac:dyDescent="0.25">
      <c r="A109" t="s">
        <v>1364</v>
      </c>
      <c r="B109" t="s">
        <v>3993</v>
      </c>
      <c r="C109" s="97" t="s">
        <v>2982</v>
      </c>
      <c r="D109" t="s">
        <v>2983</v>
      </c>
      <c r="E109" s="99" t="s">
        <v>3574</v>
      </c>
    </row>
    <row r="110" spans="1:5" x14ac:dyDescent="0.25">
      <c r="A110" t="s">
        <v>189</v>
      </c>
      <c r="B110" t="s">
        <v>3994</v>
      </c>
      <c r="C110" s="97" t="s">
        <v>2017</v>
      </c>
      <c r="D110" t="s">
        <v>2016</v>
      </c>
      <c r="E110" s="99" t="s">
        <v>3575</v>
      </c>
    </row>
    <row r="111" spans="1:5" x14ac:dyDescent="0.25">
      <c r="A111" t="s">
        <v>1682</v>
      </c>
      <c r="B111" t="s">
        <v>3995</v>
      </c>
      <c r="D111" t="s">
        <v>3576</v>
      </c>
      <c r="E111" s="99" t="s">
        <v>3577</v>
      </c>
    </row>
    <row r="112" spans="1:5" x14ac:dyDescent="0.25">
      <c r="A112" t="s">
        <v>45</v>
      </c>
      <c r="B112" t="s">
        <v>3996</v>
      </c>
      <c r="C112" s="97" t="s">
        <v>208</v>
      </c>
      <c r="D112" t="s">
        <v>207</v>
      </c>
      <c r="E112" s="99" t="s">
        <v>3578</v>
      </c>
    </row>
    <row r="113" spans="1:5" x14ac:dyDescent="0.25">
      <c r="A113" t="s">
        <v>3579</v>
      </c>
      <c r="B113" t="s">
        <v>3997</v>
      </c>
      <c r="C113" s="97" t="s">
        <v>3580</v>
      </c>
      <c r="D113" t="s">
        <v>3581</v>
      </c>
      <c r="E113" s="99" t="s">
        <v>3582</v>
      </c>
    </row>
    <row r="114" spans="1:5" x14ac:dyDescent="0.25">
      <c r="A114" t="s">
        <v>813</v>
      </c>
      <c r="B114" t="s">
        <v>3998</v>
      </c>
      <c r="C114" s="97" t="s">
        <v>2454</v>
      </c>
      <c r="D114" t="s">
        <v>2453</v>
      </c>
      <c r="E114" s="99" t="s">
        <v>3583</v>
      </c>
    </row>
    <row r="115" spans="1:5" x14ac:dyDescent="0.25">
      <c r="A115" t="s">
        <v>1642</v>
      </c>
      <c r="B115" t="s">
        <v>3999</v>
      </c>
      <c r="C115" s="97" t="s">
        <v>3584</v>
      </c>
      <c r="D115" t="s">
        <v>2992</v>
      </c>
      <c r="E115" s="99" t="s">
        <v>3585</v>
      </c>
    </row>
    <row r="116" spans="1:5" x14ac:dyDescent="0.25">
      <c r="A116" t="s">
        <v>2063</v>
      </c>
      <c r="B116" t="s">
        <v>4000</v>
      </c>
      <c r="D116" t="s">
        <v>2996</v>
      </c>
      <c r="E116" s="99" t="s">
        <v>3586</v>
      </c>
    </row>
    <row r="117" spans="1:5" x14ac:dyDescent="0.25">
      <c r="A117" t="s">
        <v>3587</v>
      </c>
      <c r="B117" t="s">
        <v>4001</v>
      </c>
      <c r="C117" s="97" t="s">
        <v>3588</v>
      </c>
      <c r="D117" t="s">
        <v>3589</v>
      </c>
      <c r="E117" s="99" t="s">
        <v>3590</v>
      </c>
    </row>
    <row r="118" spans="1:5" x14ac:dyDescent="0.25">
      <c r="A118" t="s">
        <v>3591</v>
      </c>
      <c r="B118" t="s">
        <v>4002</v>
      </c>
      <c r="D118" t="s">
        <v>3592</v>
      </c>
      <c r="E118" s="99" t="s">
        <v>3593</v>
      </c>
    </row>
    <row r="119" spans="1:5" x14ac:dyDescent="0.25">
      <c r="A119" t="s">
        <v>734</v>
      </c>
      <c r="B119" t="s">
        <v>4003</v>
      </c>
      <c r="D119" t="s">
        <v>2447</v>
      </c>
      <c r="E119" s="99" t="s">
        <v>3594</v>
      </c>
    </row>
    <row r="120" spans="1:5" x14ac:dyDescent="0.25">
      <c r="A120" t="s">
        <v>3595</v>
      </c>
      <c r="B120" t="s">
        <v>4004</v>
      </c>
      <c r="C120" s="97" t="s">
        <v>3596</v>
      </c>
      <c r="D120" t="s">
        <v>3597</v>
      </c>
      <c r="E120" s="99" t="s">
        <v>3598</v>
      </c>
    </row>
    <row r="121" spans="1:5" x14ac:dyDescent="0.25">
      <c r="A121" t="s">
        <v>3599</v>
      </c>
      <c r="B121" t="s">
        <v>4005</v>
      </c>
      <c r="C121" s="97" t="s">
        <v>3600</v>
      </c>
      <c r="D121" t="s">
        <v>3601</v>
      </c>
      <c r="E121" s="99" t="s">
        <v>3602</v>
      </c>
    </row>
    <row r="122" spans="1:5" x14ac:dyDescent="0.25">
      <c r="A122" t="s">
        <v>1961</v>
      </c>
      <c r="B122" t="s">
        <v>4006</v>
      </c>
      <c r="C122" s="97" t="s">
        <v>3603</v>
      </c>
      <c r="D122" t="s">
        <v>3604</v>
      </c>
      <c r="E122" s="99" t="s">
        <v>3605</v>
      </c>
    </row>
    <row r="123" spans="1:5" x14ac:dyDescent="0.25">
      <c r="A123" t="s">
        <v>3606</v>
      </c>
      <c r="B123" t="s">
        <v>4007</v>
      </c>
      <c r="C123" s="97" t="s">
        <v>3607</v>
      </c>
      <c r="D123" t="s">
        <v>3608</v>
      </c>
      <c r="E123" s="99" t="s">
        <v>3609</v>
      </c>
    </row>
    <row r="124" spans="1:5" x14ac:dyDescent="0.25">
      <c r="A124" t="s">
        <v>3610</v>
      </c>
      <c r="B124" t="s">
        <v>4008</v>
      </c>
      <c r="C124" s="97" t="s">
        <v>3611</v>
      </c>
      <c r="D124" t="s">
        <v>3612</v>
      </c>
      <c r="E124" s="99" t="s">
        <v>3613</v>
      </c>
    </row>
    <row r="125" spans="1:5" x14ac:dyDescent="0.25">
      <c r="A125" t="s">
        <v>3614</v>
      </c>
      <c r="B125" t="s">
        <v>4009</v>
      </c>
      <c r="D125" t="s">
        <v>3615</v>
      </c>
      <c r="E125" s="99" t="s">
        <v>3616</v>
      </c>
    </row>
    <row r="126" spans="1:5" x14ac:dyDescent="0.25">
      <c r="A126" t="s">
        <v>182</v>
      </c>
      <c r="B126" t="s">
        <v>4010</v>
      </c>
      <c r="C126" s="97" t="s">
        <v>1969</v>
      </c>
      <c r="D126" t="s">
        <v>1968</v>
      </c>
      <c r="E126" s="99" t="s">
        <v>3617</v>
      </c>
    </row>
    <row r="127" spans="1:5" x14ac:dyDescent="0.25">
      <c r="A127" t="s">
        <v>34</v>
      </c>
      <c r="B127" t="s">
        <v>4011</v>
      </c>
      <c r="D127" t="s">
        <v>3005</v>
      </c>
      <c r="E127" s="99" t="s">
        <v>3618</v>
      </c>
    </row>
    <row r="128" spans="1:5" x14ac:dyDescent="0.25">
      <c r="A128" t="s">
        <v>906</v>
      </c>
      <c r="B128" t="s">
        <v>4012</v>
      </c>
      <c r="C128" s="97" t="s">
        <v>3619</v>
      </c>
      <c r="D128" t="s">
        <v>3009</v>
      </c>
      <c r="E128" s="99" t="s">
        <v>3620</v>
      </c>
    </row>
    <row r="129" spans="1:5" x14ac:dyDescent="0.25">
      <c r="A129" t="s">
        <v>1875</v>
      </c>
      <c r="B129" t="s">
        <v>4013</v>
      </c>
      <c r="C129" s="97" t="s">
        <v>1873</v>
      </c>
      <c r="D129" t="s">
        <v>1872</v>
      </c>
      <c r="E129" s="99" t="s">
        <v>3621</v>
      </c>
    </row>
    <row r="130" spans="1:5" x14ac:dyDescent="0.25">
      <c r="A130" t="s">
        <v>3622</v>
      </c>
      <c r="B130" t="s">
        <v>4014</v>
      </c>
      <c r="C130" s="97" t="s">
        <v>3623</v>
      </c>
      <c r="D130" t="s">
        <v>3624</v>
      </c>
      <c r="E130" s="99" t="s">
        <v>3625</v>
      </c>
    </row>
    <row r="131" spans="1:5" x14ac:dyDescent="0.25">
      <c r="A131" t="s">
        <v>3626</v>
      </c>
      <c r="B131" t="s">
        <v>4015</v>
      </c>
      <c r="C131" s="97" t="s">
        <v>3627</v>
      </c>
      <c r="D131" t="s">
        <v>3628</v>
      </c>
      <c r="E131" s="99" t="s">
        <v>3629</v>
      </c>
    </row>
    <row r="132" spans="1:5" x14ac:dyDescent="0.25">
      <c r="A132" t="s">
        <v>1133</v>
      </c>
      <c r="B132" t="s">
        <v>4016</v>
      </c>
      <c r="D132" t="s">
        <v>3015</v>
      </c>
      <c r="E132" s="99" t="s">
        <v>3630</v>
      </c>
    </row>
    <row r="133" spans="1:5" x14ac:dyDescent="0.25">
      <c r="A133" t="s">
        <v>356</v>
      </c>
      <c r="B133" t="s">
        <v>4017</v>
      </c>
      <c r="C133" s="97" t="s">
        <v>354</v>
      </c>
      <c r="D133" t="s">
        <v>353</v>
      </c>
      <c r="E133" s="99" t="s">
        <v>3631</v>
      </c>
    </row>
    <row r="134" spans="1:5" x14ac:dyDescent="0.25">
      <c r="A134" t="s">
        <v>3632</v>
      </c>
      <c r="B134" t="s">
        <v>4018</v>
      </c>
      <c r="C134" s="97" t="s">
        <v>3633</v>
      </c>
      <c r="D134" t="s">
        <v>3634</v>
      </c>
      <c r="E134" s="99" t="s">
        <v>3635</v>
      </c>
    </row>
    <row r="135" spans="1:5" x14ac:dyDescent="0.25">
      <c r="A135" t="s">
        <v>2088</v>
      </c>
      <c r="B135" t="s">
        <v>4019</v>
      </c>
      <c r="D135" t="s">
        <v>2086</v>
      </c>
      <c r="E135" s="99" t="s">
        <v>3636</v>
      </c>
    </row>
    <row r="136" spans="1:5" x14ac:dyDescent="0.25">
      <c r="A136" t="s">
        <v>3637</v>
      </c>
      <c r="B136" t="s">
        <v>4020</v>
      </c>
      <c r="D136" t="s">
        <v>3638</v>
      </c>
      <c r="E136" s="99" t="s">
        <v>3639</v>
      </c>
    </row>
    <row r="137" spans="1:5" x14ac:dyDescent="0.25">
      <c r="A137" t="s">
        <v>1743</v>
      </c>
      <c r="B137" t="s">
        <v>4021</v>
      </c>
      <c r="C137" s="97" t="s">
        <v>3640</v>
      </c>
      <c r="D137" t="s">
        <v>3019</v>
      </c>
      <c r="E137" s="99" t="s">
        <v>3641</v>
      </c>
    </row>
    <row r="138" spans="1:5" x14ac:dyDescent="0.25">
      <c r="A138" t="s">
        <v>3642</v>
      </c>
      <c r="B138" t="s">
        <v>4022</v>
      </c>
      <c r="C138" s="97" t="s">
        <v>3643</v>
      </c>
      <c r="D138" t="s">
        <v>3644</v>
      </c>
      <c r="E138" s="99" t="s">
        <v>3645</v>
      </c>
    </row>
    <row r="139" spans="1:5" x14ac:dyDescent="0.25">
      <c r="A139" t="s">
        <v>2722</v>
      </c>
      <c r="B139" t="s">
        <v>4023</v>
      </c>
      <c r="D139" t="s">
        <v>3023</v>
      </c>
      <c r="E139" s="99" t="s">
        <v>3646</v>
      </c>
    </row>
    <row r="140" spans="1:5" x14ac:dyDescent="0.25">
      <c r="A140" t="s">
        <v>324</v>
      </c>
      <c r="B140" t="s">
        <v>4024</v>
      </c>
      <c r="C140" s="97" t="s">
        <v>3026</v>
      </c>
      <c r="D140" t="s">
        <v>3027</v>
      </c>
      <c r="E140" s="99" t="s">
        <v>3647</v>
      </c>
    </row>
    <row r="141" spans="1:5" x14ac:dyDescent="0.25">
      <c r="A141" t="s">
        <v>951</v>
      </c>
      <c r="B141" t="s">
        <v>4025</v>
      </c>
      <c r="D141" t="s">
        <v>3648</v>
      </c>
      <c r="E141" s="99" t="s">
        <v>3649</v>
      </c>
    </row>
    <row r="142" spans="1:5" x14ac:dyDescent="0.25">
      <c r="A142" t="s">
        <v>1020</v>
      </c>
      <c r="B142" t="s">
        <v>4026</v>
      </c>
      <c r="C142" s="97" t="s">
        <v>1018</v>
      </c>
      <c r="D142" t="s">
        <v>1017</v>
      </c>
      <c r="E142" s="99" t="s">
        <v>3650</v>
      </c>
    </row>
    <row r="143" spans="1:5" x14ac:dyDescent="0.25">
      <c r="A143" t="s">
        <v>3651</v>
      </c>
      <c r="B143" t="s">
        <v>4027</v>
      </c>
      <c r="D143" t="s">
        <v>3652</v>
      </c>
      <c r="E143" s="99" t="s">
        <v>3653</v>
      </c>
    </row>
    <row r="144" spans="1:5" x14ac:dyDescent="0.25">
      <c r="A144" t="s">
        <v>3654</v>
      </c>
      <c r="B144" t="s">
        <v>4028</v>
      </c>
      <c r="C144" s="97" t="s">
        <v>3655</v>
      </c>
      <c r="D144" t="s">
        <v>3656</v>
      </c>
      <c r="E144" s="99" t="s">
        <v>3657</v>
      </c>
    </row>
    <row r="145" spans="1:5" x14ac:dyDescent="0.25">
      <c r="A145" t="s">
        <v>3658</v>
      </c>
      <c r="B145" t="s">
        <v>4029</v>
      </c>
      <c r="C145" s="97" t="s">
        <v>3659</v>
      </c>
      <c r="D145" t="s">
        <v>3660</v>
      </c>
      <c r="E145" s="99" t="s">
        <v>3661</v>
      </c>
    </row>
    <row r="146" spans="1:5" x14ac:dyDescent="0.25">
      <c r="A146" t="s">
        <v>433</v>
      </c>
      <c r="B146" t="s">
        <v>4030</v>
      </c>
      <c r="D146" t="s">
        <v>3662</v>
      </c>
      <c r="E146" s="99" t="s">
        <v>3663</v>
      </c>
    </row>
    <row r="147" spans="1:5" x14ac:dyDescent="0.25">
      <c r="A147" t="s">
        <v>376</v>
      </c>
      <c r="B147" t="s">
        <v>4031</v>
      </c>
      <c r="C147" s="97" t="s">
        <v>4126</v>
      </c>
      <c r="D147" t="s">
        <v>3664</v>
      </c>
      <c r="E147" s="99" t="s">
        <v>3665</v>
      </c>
    </row>
    <row r="148" spans="1:5" x14ac:dyDescent="0.25">
      <c r="A148" t="s">
        <v>3666</v>
      </c>
      <c r="B148" t="s">
        <v>4032</v>
      </c>
      <c r="C148" s="97" t="s">
        <v>3667</v>
      </c>
      <c r="D148" t="s">
        <v>3668</v>
      </c>
      <c r="E148" s="99" t="s">
        <v>3669</v>
      </c>
    </row>
    <row r="149" spans="1:5" x14ac:dyDescent="0.25">
      <c r="A149" t="s">
        <v>3670</v>
      </c>
      <c r="B149" t="s">
        <v>4033</v>
      </c>
      <c r="C149" s="97" t="s">
        <v>3671</v>
      </c>
      <c r="D149" t="s">
        <v>3672</v>
      </c>
      <c r="E149" s="99" t="s">
        <v>3673</v>
      </c>
    </row>
    <row r="150" spans="1:5" x14ac:dyDescent="0.25">
      <c r="A150" t="s">
        <v>256</v>
      </c>
      <c r="B150" t="s">
        <v>4034</v>
      </c>
      <c r="D150" t="s">
        <v>254</v>
      </c>
      <c r="E150" s="99" t="s">
        <v>3674</v>
      </c>
    </row>
    <row r="151" spans="1:5" x14ac:dyDescent="0.25">
      <c r="A151" t="s">
        <v>3675</v>
      </c>
      <c r="B151" t="s">
        <v>4035</v>
      </c>
      <c r="C151" s="97" t="s">
        <v>3676</v>
      </c>
      <c r="D151" t="s">
        <v>3677</v>
      </c>
      <c r="E151" s="99" t="s">
        <v>3678</v>
      </c>
    </row>
    <row r="152" spans="1:5" x14ac:dyDescent="0.25">
      <c r="A152" t="s">
        <v>2719</v>
      </c>
      <c r="B152" t="s">
        <v>4036</v>
      </c>
      <c r="D152" t="s">
        <v>3679</v>
      </c>
      <c r="E152" s="99" t="s">
        <v>3680</v>
      </c>
    </row>
    <row r="153" spans="1:5" x14ac:dyDescent="0.25">
      <c r="A153" t="s">
        <v>3681</v>
      </c>
      <c r="B153" t="s">
        <v>4037</v>
      </c>
      <c r="C153" s="97" t="s">
        <v>3682</v>
      </c>
      <c r="D153" t="s">
        <v>3683</v>
      </c>
      <c r="E153" s="99" t="s">
        <v>3684</v>
      </c>
    </row>
    <row r="154" spans="1:5" x14ac:dyDescent="0.25">
      <c r="A154" t="s">
        <v>3685</v>
      </c>
      <c r="B154" t="s">
        <v>4038</v>
      </c>
      <c r="D154" t="s">
        <v>3686</v>
      </c>
      <c r="E154" s="99" t="s">
        <v>3687</v>
      </c>
    </row>
    <row r="155" spans="1:5" x14ac:dyDescent="0.25">
      <c r="A155" t="s">
        <v>3688</v>
      </c>
      <c r="B155" t="s">
        <v>4039</v>
      </c>
      <c r="C155" s="97" t="s">
        <v>3689</v>
      </c>
      <c r="D155" t="s">
        <v>3690</v>
      </c>
      <c r="E155" s="99" t="s">
        <v>3691</v>
      </c>
    </row>
    <row r="156" spans="1:5" x14ac:dyDescent="0.25">
      <c r="A156" t="s">
        <v>199</v>
      </c>
      <c r="B156" t="s">
        <v>4040</v>
      </c>
      <c r="C156" s="97" t="s">
        <v>2425</v>
      </c>
      <c r="D156" t="s">
        <v>2424</v>
      </c>
      <c r="E156" s="99" t="s">
        <v>3692</v>
      </c>
    </row>
    <row r="157" spans="1:5" x14ac:dyDescent="0.25">
      <c r="A157" t="s">
        <v>1094</v>
      </c>
      <c r="B157" t="s">
        <v>4041</v>
      </c>
      <c r="C157" s="97" t="s">
        <v>3693</v>
      </c>
      <c r="D157" t="s">
        <v>3039</v>
      </c>
      <c r="E157" s="99" t="s">
        <v>3040</v>
      </c>
    </row>
    <row r="158" spans="1:5" x14ac:dyDescent="0.25">
      <c r="A158" t="s">
        <v>557</v>
      </c>
      <c r="B158" t="s">
        <v>4042</v>
      </c>
      <c r="D158" t="s">
        <v>1834</v>
      </c>
      <c r="E158" s="99" t="s">
        <v>3694</v>
      </c>
    </row>
    <row r="159" spans="1:5" x14ac:dyDescent="0.25">
      <c r="A159" t="s">
        <v>2700</v>
      </c>
      <c r="B159" t="s">
        <v>4043</v>
      </c>
      <c r="D159" t="s">
        <v>3045</v>
      </c>
      <c r="E159" s="99" t="s">
        <v>3046</v>
      </c>
    </row>
    <row r="160" spans="1:5" x14ac:dyDescent="0.25">
      <c r="A160" t="s">
        <v>335</v>
      </c>
      <c r="B160" t="s">
        <v>4044</v>
      </c>
      <c r="C160" s="97" t="s">
        <v>4127</v>
      </c>
      <c r="D160" t="s">
        <v>3695</v>
      </c>
      <c r="E160" s="99" t="s">
        <v>3696</v>
      </c>
    </row>
    <row r="161" spans="1:5" x14ac:dyDescent="0.25">
      <c r="A161" t="s">
        <v>3697</v>
      </c>
      <c r="B161" t="s">
        <v>4045</v>
      </c>
      <c r="D161" t="s">
        <v>3698</v>
      </c>
      <c r="E161" s="99" t="s">
        <v>3699</v>
      </c>
    </row>
    <row r="162" spans="1:5" x14ac:dyDescent="0.25">
      <c r="A162" t="s">
        <v>414</v>
      </c>
      <c r="B162" t="s">
        <v>4046</v>
      </c>
      <c r="D162" t="s">
        <v>3050</v>
      </c>
      <c r="E162" s="99" t="s">
        <v>3051</v>
      </c>
    </row>
    <row r="163" spans="1:5" x14ac:dyDescent="0.25">
      <c r="A163" t="s">
        <v>1116</v>
      </c>
      <c r="B163" t="s">
        <v>4047</v>
      </c>
      <c r="C163" s="97" t="s">
        <v>3053</v>
      </c>
      <c r="D163" t="s">
        <v>3700</v>
      </c>
      <c r="E163" s="99" t="s">
        <v>3701</v>
      </c>
    </row>
    <row r="164" spans="1:5" x14ac:dyDescent="0.25">
      <c r="A164" t="s">
        <v>3702</v>
      </c>
      <c r="B164" t="s">
        <v>4048</v>
      </c>
      <c r="D164" t="s">
        <v>3703</v>
      </c>
      <c r="E164" s="99" t="s">
        <v>3704</v>
      </c>
    </row>
    <row r="165" spans="1:5" x14ac:dyDescent="0.25">
      <c r="A165" t="s">
        <v>932</v>
      </c>
      <c r="B165" t="s">
        <v>4049</v>
      </c>
      <c r="C165" s="97" t="s">
        <v>3705</v>
      </c>
      <c r="D165" t="s">
        <v>3058</v>
      </c>
      <c r="E165" s="99" t="s">
        <v>3706</v>
      </c>
    </row>
    <row r="166" spans="1:5" x14ac:dyDescent="0.25">
      <c r="A166" t="s">
        <v>495</v>
      </c>
      <c r="B166" t="s">
        <v>4050</v>
      </c>
      <c r="D166" t="s">
        <v>3062</v>
      </c>
      <c r="E166" s="99" t="s">
        <v>3707</v>
      </c>
    </row>
    <row r="167" spans="1:5" x14ac:dyDescent="0.25">
      <c r="A167" t="s">
        <v>682</v>
      </c>
      <c r="B167" t="s">
        <v>4051</v>
      </c>
      <c r="D167" t="s">
        <v>3065</v>
      </c>
      <c r="E167" s="99" t="s">
        <v>3066</v>
      </c>
    </row>
    <row r="168" spans="1:5" x14ac:dyDescent="0.25">
      <c r="A168" t="s">
        <v>88</v>
      </c>
      <c r="B168" t="s">
        <v>4052</v>
      </c>
      <c r="C168" s="97" t="s">
        <v>3708</v>
      </c>
      <c r="D168" t="s">
        <v>3069</v>
      </c>
      <c r="E168" s="99" t="s">
        <v>3070</v>
      </c>
    </row>
    <row r="169" spans="1:5" x14ac:dyDescent="0.25">
      <c r="A169" t="s">
        <v>3709</v>
      </c>
      <c r="B169" t="s">
        <v>4053</v>
      </c>
      <c r="C169" s="97" t="s">
        <v>3710</v>
      </c>
      <c r="D169" t="s">
        <v>3711</v>
      </c>
      <c r="E169" s="99" t="s">
        <v>3712</v>
      </c>
    </row>
    <row r="170" spans="1:5" x14ac:dyDescent="0.25">
      <c r="A170" t="s">
        <v>3713</v>
      </c>
      <c r="B170" t="s">
        <v>4054</v>
      </c>
      <c r="D170" t="s">
        <v>3714</v>
      </c>
      <c r="E170" s="99" t="s">
        <v>3715</v>
      </c>
    </row>
    <row r="171" spans="1:5" x14ac:dyDescent="0.25">
      <c r="A171" t="s">
        <v>2308</v>
      </c>
      <c r="B171" t="s">
        <v>4055</v>
      </c>
      <c r="C171" s="97" t="s">
        <v>3716</v>
      </c>
      <c r="D171" t="s">
        <v>3717</v>
      </c>
      <c r="E171" s="99" t="s">
        <v>3718</v>
      </c>
    </row>
    <row r="172" spans="1:5" x14ac:dyDescent="0.25">
      <c r="A172" t="s">
        <v>2713</v>
      </c>
      <c r="B172" t="s">
        <v>4056</v>
      </c>
      <c r="C172" s="97" t="s">
        <v>3719</v>
      </c>
      <c r="D172" t="s">
        <v>3073</v>
      </c>
      <c r="E172" s="99" t="s">
        <v>3720</v>
      </c>
    </row>
    <row r="173" spans="1:5" x14ac:dyDescent="0.25">
      <c r="A173" t="s">
        <v>3721</v>
      </c>
      <c r="B173" t="s">
        <v>4057</v>
      </c>
      <c r="C173" s="97" t="s">
        <v>3722</v>
      </c>
      <c r="D173" t="s">
        <v>3723</v>
      </c>
      <c r="E173" s="99" t="s">
        <v>3724</v>
      </c>
    </row>
    <row r="174" spans="1:5" x14ac:dyDescent="0.25">
      <c r="A174" t="s">
        <v>423</v>
      </c>
      <c r="B174" t="s">
        <v>4058</v>
      </c>
      <c r="D174" t="s">
        <v>1666</v>
      </c>
      <c r="E174" s="99" t="s">
        <v>3725</v>
      </c>
    </row>
    <row r="175" spans="1:5" x14ac:dyDescent="0.25">
      <c r="A175" t="s">
        <v>126</v>
      </c>
      <c r="B175" t="s">
        <v>4059</v>
      </c>
      <c r="C175" s="97" t="s">
        <v>3726</v>
      </c>
      <c r="D175" t="s">
        <v>3077</v>
      </c>
      <c r="E175" s="99" t="s">
        <v>3727</v>
      </c>
    </row>
    <row r="176" spans="1:5" x14ac:dyDescent="0.25">
      <c r="A176" t="s">
        <v>785</v>
      </c>
      <c r="B176" t="s">
        <v>4060</v>
      </c>
      <c r="C176" s="97" t="s">
        <v>783</v>
      </c>
      <c r="D176" t="s">
        <v>782</v>
      </c>
      <c r="E176" s="99" t="s">
        <v>3728</v>
      </c>
    </row>
    <row r="177" spans="1:5" x14ac:dyDescent="0.25">
      <c r="A177" t="s">
        <v>3729</v>
      </c>
      <c r="B177" t="s">
        <v>4061</v>
      </c>
      <c r="C177" s="97" t="s">
        <v>3730</v>
      </c>
      <c r="D177" t="s">
        <v>3731</v>
      </c>
      <c r="E177" s="99" t="s">
        <v>3732</v>
      </c>
    </row>
    <row r="178" spans="1:5" x14ac:dyDescent="0.25">
      <c r="A178" t="s">
        <v>521</v>
      </c>
      <c r="B178" t="s">
        <v>4062</v>
      </c>
      <c r="D178" t="s">
        <v>3081</v>
      </c>
      <c r="E178" s="99" t="s">
        <v>3733</v>
      </c>
    </row>
    <row r="179" spans="1:5" x14ac:dyDescent="0.25">
      <c r="A179" t="s">
        <v>1784</v>
      </c>
      <c r="B179" t="s">
        <v>4063</v>
      </c>
      <c r="C179" s="97" t="s">
        <v>3084</v>
      </c>
      <c r="D179" t="s">
        <v>3085</v>
      </c>
      <c r="E179" s="99" t="s">
        <v>3734</v>
      </c>
    </row>
    <row r="180" spans="1:5" x14ac:dyDescent="0.25">
      <c r="A180" t="s">
        <v>3735</v>
      </c>
      <c r="B180" t="s">
        <v>4064</v>
      </c>
      <c r="C180" s="97" t="s">
        <v>3736</v>
      </c>
      <c r="D180" t="s">
        <v>3737</v>
      </c>
      <c r="E180" s="99" t="s">
        <v>3738</v>
      </c>
    </row>
    <row r="181" spans="1:5" x14ac:dyDescent="0.25">
      <c r="A181" t="s">
        <v>2706</v>
      </c>
      <c r="B181" t="s">
        <v>4065</v>
      </c>
      <c r="C181" s="97" t="s">
        <v>3739</v>
      </c>
      <c r="D181" t="s">
        <v>3089</v>
      </c>
      <c r="E181" s="99" t="s">
        <v>3740</v>
      </c>
    </row>
    <row r="182" spans="1:5" x14ac:dyDescent="0.25">
      <c r="A182" t="s">
        <v>987</v>
      </c>
      <c r="B182" t="s">
        <v>4066</v>
      </c>
      <c r="D182" t="s">
        <v>3741</v>
      </c>
      <c r="E182" s="99" t="s">
        <v>3742</v>
      </c>
    </row>
    <row r="183" spans="1:5" x14ac:dyDescent="0.25">
      <c r="A183" t="s">
        <v>394</v>
      </c>
      <c r="B183" t="s">
        <v>4067</v>
      </c>
      <c r="C183" s="97" t="s">
        <v>2078</v>
      </c>
      <c r="D183" t="s">
        <v>2077</v>
      </c>
      <c r="E183" s="99" t="s">
        <v>3743</v>
      </c>
    </row>
    <row r="184" spans="1:5" x14ac:dyDescent="0.25">
      <c r="A184" t="s">
        <v>2385</v>
      </c>
      <c r="B184" t="s">
        <v>4068</v>
      </c>
      <c r="C184" s="97" t="s">
        <v>3744</v>
      </c>
      <c r="D184" t="s">
        <v>3745</v>
      </c>
      <c r="E184" s="99" t="s">
        <v>3746</v>
      </c>
    </row>
    <row r="185" spans="1:5" x14ac:dyDescent="0.25">
      <c r="A185" t="s">
        <v>3747</v>
      </c>
      <c r="B185" t="s">
        <v>4069</v>
      </c>
      <c r="C185" s="97" t="s">
        <v>3748</v>
      </c>
      <c r="D185" t="s">
        <v>3749</v>
      </c>
      <c r="E185" s="99" t="s">
        <v>3750</v>
      </c>
    </row>
    <row r="186" spans="1:5" x14ac:dyDescent="0.25">
      <c r="A186" t="s">
        <v>3751</v>
      </c>
      <c r="B186" t="s">
        <v>4070</v>
      </c>
      <c r="D186" t="s">
        <v>3752</v>
      </c>
      <c r="E186" s="99" t="s">
        <v>3753</v>
      </c>
    </row>
    <row r="187" spans="1:5" x14ac:dyDescent="0.25">
      <c r="A187" t="s">
        <v>2711</v>
      </c>
      <c r="B187" t="s">
        <v>4071</v>
      </c>
      <c r="D187" t="s">
        <v>3095</v>
      </c>
      <c r="E187" s="99" t="s">
        <v>3754</v>
      </c>
    </row>
    <row r="188" spans="1:5" x14ac:dyDescent="0.25">
      <c r="A188" t="s">
        <v>1262</v>
      </c>
      <c r="B188" t="s">
        <v>4072</v>
      </c>
      <c r="D188" t="s">
        <v>3099</v>
      </c>
      <c r="E188" s="99" t="s">
        <v>3755</v>
      </c>
    </row>
    <row r="189" spans="1:5" x14ac:dyDescent="0.25">
      <c r="A189" t="s">
        <v>3756</v>
      </c>
      <c r="B189" t="s">
        <v>4073</v>
      </c>
      <c r="C189" s="97" t="s">
        <v>3757</v>
      </c>
      <c r="D189" t="s">
        <v>3758</v>
      </c>
      <c r="E189" s="99" t="s">
        <v>3759</v>
      </c>
    </row>
    <row r="190" spans="1:5" x14ac:dyDescent="0.25">
      <c r="A190" t="s">
        <v>3760</v>
      </c>
      <c r="B190" t="s">
        <v>4074</v>
      </c>
      <c r="C190" s="97" t="s">
        <v>3761</v>
      </c>
      <c r="D190" t="s">
        <v>3762</v>
      </c>
      <c r="E190" s="99" t="s">
        <v>3763</v>
      </c>
    </row>
    <row r="191" spans="1:5" x14ac:dyDescent="0.25">
      <c r="A191" t="s">
        <v>3764</v>
      </c>
      <c r="B191" t="s">
        <v>4075</v>
      </c>
      <c r="D191" t="s">
        <v>3765</v>
      </c>
      <c r="E191" s="99" t="s">
        <v>3766</v>
      </c>
    </row>
    <row r="192" spans="1:5" x14ac:dyDescent="0.25">
      <c r="A192" t="s">
        <v>3767</v>
      </c>
      <c r="B192" t="s">
        <v>4076</v>
      </c>
      <c r="C192" s="97" t="s">
        <v>3768</v>
      </c>
      <c r="D192" t="s">
        <v>3769</v>
      </c>
      <c r="E192" s="99" t="s">
        <v>3770</v>
      </c>
    </row>
    <row r="193" spans="1:5" x14ac:dyDescent="0.25">
      <c r="A193" t="s">
        <v>978</v>
      </c>
      <c r="B193" t="s">
        <v>4077</v>
      </c>
      <c r="D193" t="s">
        <v>976</v>
      </c>
      <c r="E193" s="99" t="s">
        <v>3102</v>
      </c>
    </row>
    <row r="194" spans="1:5" x14ac:dyDescent="0.25">
      <c r="A194" t="s">
        <v>634</v>
      </c>
      <c r="B194" t="s">
        <v>4078</v>
      </c>
      <c r="C194" s="97" t="s">
        <v>3104</v>
      </c>
      <c r="D194" t="s">
        <v>3105</v>
      </c>
      <c r="E194" s="99" t="s">
        <v>3106</v>
      </c>
    </row>
    <row r="195" spans="1:5" x14ac:dyDescent="0.25">
      <c r="A195" t="s">
        <v>3771</v>
      </c>
      <c r="B195" t="s">
        <v>4079</v>
      </c>
      <c r="C195" s="97" t="s">
        <v>3772</v>
      </c>
      <c r="D195" t="s">
        <v>3773</v>
      </c>
      <c r="E195" s="99" t="s">
        <v>3774</v>
      </c>
    </row>
    <row r="196" spans="1:5" x14ac:dyDescent="0.25">
      <c r="A196" t="s">
        <v>2724</v>
      </c>
      <c r="B196" t="s">
        <v>4080</v>
      </c>
      <c r="C196" s="97" t="s">
        <v>3775</v>
      </c>
      <c r="D196" t="s">
        <v>3776</v>
      </c>
      <c r="E196" s="99" t="s">
        <v>3777</v>
      </c>
    </row>
    <row r="197" spans="1:5" x14ac:dyDescent="0.25">
      <c r="A197" t="s">
        <v>3778</v>
      </c>
      <c r="B197" t="s">
        <v>4081</v>
      </c>
      <c r="C197" s="97" t="s">
        <v>3779</v>
      </c>
      <c r="D197" t="s">
        <v>3780</v>
      </c>
      <c r="E197" s="99" t="s">
        <v>3781</v>
      </c>
    </row>
    <row r="198" spans="1:5" x14ac:dyDescent="0.25">
      <c r="A198" t="s">
        <v>1617</v>
      </c>
      <c r="B198" t="s">
        <v>4082</v>
      </c>
      <c r="D198" t="s">
        <v>3110</v>
      </c>
      <c r="E198" s="99" t="s">
        <v>3782</v>
      </c>
    </row>
    <row r="199" spans="1:5" x14ac:dyDescent="0.25">
      <c r="A199" t="s">
        <v>3783</v>
      </c>
      <c r="B199" t="s">
        <v>4083</v>
      </c>
      <c r="C199" s="97" t="s">
        <v>3784</v>
      </c>
      <c r="D199" t="s">
        <v>3785</v>
      </c>
      <c r="E199" s="99" t="s">
        <v>3786</v>
      </c>
    </row>
    <row r="200" spans="1:5" x14ac:dyDescent="0.25">
      <c r="A200" t="s">
        <v>3787</v>
      </c>
      <c r="B200" t="s">
        <v>4084</v>
      </c>
      <c r="C200" s="97" t="s">
        <v>3788</v>
      </c>
      <c r="D200" t="s">
        <v>3789</v>
      </c>
      <c r="E200" s="99" t="s">
        <v>3790</v>
      </c>
    </row>
    <row r="201" spans="1:5" x14ac:dyDescent="0.25">
      <c r="A201" t="s">
        <v>3791</v>
      </c>
      <c r="B201" t="s">
        <v>4085</v>
      </c>
      <c r="C201" s="97" t="s">
        <v>3792</v>
      </c>
      <c r="D201" t="s">
        <v>3793</v>
      </c>
      <c r="E201" s="99" t="s">
        <v>3794</v>
      </c>
    </row>
    <row r="202" spans="1:5" x14ac:dyDescent="0.25">
      <c r="A202" t="s">
        <v>2416</v>
      </c>
      <c r="B202" t="s">
        <v>4086</v>
      </c>
      <c r="C202" s="97" t="s">
        <v>3795</v>
      </c>
      <c r="D202" t="s">
        <v>3114</v>
      </c>
      <c r="E202" s="99" t="s">
        <v>3796</v>
      </c>
    </row>
    <row r="203" spans="1:5" x14ac:dyDescent="0.25">
      <c r="A203" t="s">
        <v>1625</v>
      </c>
      <c r="B203" t="s">
        <v>4087</v>
      </c>
      <c r="D203" t="s">
        <v>1623</v>
      </c>
      <c r="E203" s="99" t="s">
        <v>3797</v>
      </c>
    </row>
    <row r="204" spans="1:5" x14ac:dyDescent="0.25">
      <c r="A204" t="s">
        <v>567</v>
      </c>
      <c r="B204" t="s">
        <v>4088</v>
      </c>
      <c r="C204" s="97" t="s">
        <v>3798</v>
      </c>
      <c r="D204" t="s">
        <v>3799</v>
      </c>
      <c r="E204" s="99" t="s">
        <v>3800</v>
      </c>
    </row>
    <row r="205" spans="1:5" x14ac:dyDescent="0.25">
      <c r="A205" t="s">
        <v>117</v>
      </c>
      <c r="B205" t="s">
        <v>4089</v>
      </c>
      <c r="C205" s="97" t="s">
        <v>2408</v>
      </c>
      <c r="D205" t="s">
        <v>2407</v>
      </c>
      <c r="E205" s="99" t="s">
        <v>3801</v>
      </c>
    </row>
    <row r="206" spans="1:5" x14ac:dyDescent="0.25">
      <c r="A206" t="s">
        <v>2727</v>
      </c>
      <c r="B206" t="s">
        <v>4090</v>
      </c>
      <c r="C206" s="97" t="s">
        <v>3802</v>
      </c>
      <c r="D206" t="s">
        <v>3803</v>
      </c>
      <c r="E206" s="99" t="s">
        <v>3120</v>
      </c>
    </row>
    <row r="207" spans="1:5" x14ac:dyDescent="0.25">
      <c r="A207" t="s">
        <v>3804</v>
      </c>
      <c r="B207" t="s">
        <v>4091</v>
      </c>
      <c r="D207" t="s">
        <v>3805</v>
      </c>
      <c r="E207" s="99" t="s">
        <v>3806</v>
      </c>
    </row>
    <row r="208" spans="1:5" x14ac:dyDescent="0.25">
      <c r="A208" t="s">
        <v>3807</v>
      </c>
      <c r="B208" t="s">
        <v>4092</v>
      </c>
      <c r="C208" s="97" t="s">
        <v>3808</v>
      </c>
      <c r="D208" t="s">
        <v>3809</v>
      </c>
      <c r="E208" s="99" t="s">
        <v>3810</v>
      </c>
    </row>
    <row r="209" spans="1:5" x14ac:dyDescent="0.25">
      <c r="A209" t="s">
        <v>775</v>
      </c>
      <c r="B209" t="s">
        <v>4093</v>
      </c>
      <c r="D209" t="s">
        <v>773</v>
      </c>
      <c r="E209" s="99" t="s">
        <v>3811</v>
      </c>
    </row>
    <row r="210" spans="1:5" x14ac:dyDescent="0.25">
      <c r="A210" t="s">
        <v>2096</v>
      </c>
      <c r="B210" t="s">
        <v>4094</v>
      </c>
      <c r="D210" t="s">
        <v>3812</v>
      </c>
      <c r="E210" s="99" t="s">
        <v>3813</v>
      </c>
    </row>
    <row r="211" spans="1:5" x14ac:dyDescent="0.25">
      <c r="A211" t="s">
        <v>1923</v>
      </c>
      <c r="B211" t="s">
        <v>4095</v>
      </c>
      <c r="C211" s="97" t="s">
        <v>1921</v>
      </c>
      <c r="D211" t="s">
        <v>1920</v>
      </c>
      <c r="E211" s="99" t="s">
        <v>3814</v>
      </c>
    </row>
    <row r="212" spans="1:5" x14ac:dyDescent="0.25">
      <c r="A212" t="s">
        <v>3815</v>
      </c>
      <c r="B212" t="s">
        <v>4096</v>
      </c>
      <c r="D212" t="s">
        <v>3816</v>
      </c>
      <c r="E212" s="99" t="s">
        <v>3817</v>
      </c>
    </row>
    <row r="213" spans="1:5" x14ac:dyDescent="0.25">
      <c r="A213" t="s">
        <v>2693</v>
      </c>
      <c r="B213" t="s">
        <v>4097</v>
      </c>
      <c r="C213" s="97" t="s">
        <v>3124</v>
      </c>
      <c r="D213" t="s">
        <v>3125</v>
      </c>
      <c r="E213" s="99" t="s">
        <v>3818</v>
      </c>
    </row>
    <row r="214" spans="1:5" x14ac:dyDescent="0.25">
      <c r="A214" t="s">
        <v>3819</v>
      </c>
      <c r="B214" t="s">
        <v>4098</v>
      </c>
      <c r="D214" t="s">
        <v>3820</v>
      </c>
      <c r="E214" s="99" t="s">
        <v>3821</v>
      </c>
    </row>
    <row r="215" spans="1:5" x14ac:dyDescent="0.25">
      <c r="A215" t="s">
        <v>3822</v>
      </c>
      <c r="B215" t="s">
        <v>4099</v>
      </c>
      <c r="C215" s="97" t="s">
        <v>3823</v>
      </c>
      <c r="D215" t="s">
        <v>3824</v>
      </c>
      <c r="E215" s="99" t="s">
        <v>3825</v>
      </c>
    </row>
    <row r="216" spans="1:5" x14ac:dyDescent="0.25">
      <c r="A216" t="s">
        <v>613</v>
      </c>
      <c r="B216" t="s">
        <v>4100</v>
      </c>
      <c r="D216" t="s">
        <v>3129</v>
      </c>
      <c r="E216" s="99" t="s">
        <v>3826</v>
      </c>
    </row>
    <row r="217" spans="1:5" x14ac:dyDescent="0.25">
      <c r="A217" t="s">
        <v>3827</v>
      </c>
      <c r="B217" t="s">
        <v>4101</v>
      </c>
      <c r="C217" s="97" t="s">
        <v>3828</v>
      </c>
      <c r="D217" t="s">
        <v>3829</v>
      </c>
      <c r="E217" s="99" t="s">
        <v>3830</v>
      </c>
    </row>
    <row r="218" spans="1:5" x14ac:dyDescent="0.25">
      <c r="A218" t="s">
        <v>3831</v>
      </c>
      <c r="B218" t="s">
        <v>4102</v>
      </c>
      <c r="C218" s="97" t="s">
        <v>3832</v>
      </c>
      <c r="D218" t="s">
        <v>3833</v>
      </c>
      <c r="E218" s="99" t="s">
        <v>3834</v>
      </c>
    </row>
    <row r="219" spans="1:5" x14ac:dyDescent="0.25">
      <c r="A219" t="s">
        <v>2728</v>
      </c>
      <c r="B219" t="s">
        <v>4103</v>
      </c>
      <c r="C219" s="97" t="s">
        <v>3835</v>
      </c>
      <c r="D219" t="s">
        <v>3133</v>
      </c>
      <c r="E219" s="99" t="s">
        <v>3836</v>
      </c>
    </row>
    <row r="220" spans="1:5" x14ac:dyDescent="0.25">
      <c r="A220" t="s">
        <v>1105</v>
      </c>
      <c r="B220" t="s">
        <v>4104</v>
      </c>
      <c r="D220" t="s">
        <v>3137</v>
      </c>
      <c r="E220" s="99" t="s">
        <v>3837</v>
      </c>
    </row>
    <row r="221" spans="1:5" x14ac:dyDescent="0.25">
      <c r="A221" t="s">
        <v>450</v>
      </c>
      <c r="B221" t="s">
        <v>4105</v>
      </c>
      <c r="C221" s="97" t="s">
        <v>3838</v>
      </c>
      <c r="D221" t="s">
        <v>3141</v>
      </c>
      <c r="E221" s="99" t="s">
        <v>3839</v>
      </c>
    </row>
    <row r="222" spans="1:5" x14ac:dyDescent="0.25">
      <c r="A222" t="s">
        <v>3840</v>
      </c>
      <c r="B222" t="s">
        <v>4106</v>
      </c>
      <c r="D222" t="s">
        <v>3841</v>
      </c>
      <c r="E222" s="99" t="s">
        <v>3842</v>
      </c>
    </row>
    <row r="223" spans="1:5" x14ac:dyDescent="0.25">
      <c r="A223" t="s">
        <v>1252</v>
      </c>
      <c r="B223" t="s">
        <v>4107</v>
      </c>
      <c r="C223" s="97" t="s">
        <v>1251</v>
      </c>
      <c r="D223" t="s">
        <v>1250</v>
      </c>
      <c r="E223" s="99" t="s">
        <v>3843</v>
      </c>
    </row>
    <row r="224" spans="1:5" x14ac:dyDescent="0.25">
      <c r="A224" t="s">
        <v>2717</v>
      </c>
      <c r="B224" t="s">
        <v>4108</v>
      </c>
      <c r="D224" t="s">
        <v>3844</v>
      </c>
      <c r="E224" s="99" t="s">
        <v>3845</v>
      </c>
    </row>
    <row r="225" spans="1:5" x14ac:dyDescent="0.25">
      <c r="A225" t="s">
        <v>3846</v>
      </c>
      <c r="B225" t="s">
        <v>4109</v>
      </c>
      <c r="C225" s="97" t="s">
        <v>3847</v>
      </c>
      <c r="D225" t="s">
        <v>3848</v>
      </c>
      <c r="E225" s="99" t="s">
        <v>3849</v>
      </c>
    </row>
    <row r="226" spans="1:5" x14ac:dyDescent="0.25">
      <c r="A226" t="s">
        <v>2725</v>
      </c>
      <c r="B226" t="s">
        <v>4110</v>
      </c>
      <c r="C226" s="97" t="s">
        <v>3850</v>
      </c>
      <c r="D226" t="s">
        <v>3145</v>
      </c>
      <c r="E226" s="99" t="s">
        <v>3851</v>
      </c>
    </row>
    <row r="227" spans="1:5" x14ac:dyDescent="0.25">
      <c r="A227" t="s">
        <v>796</v>
      </c>
      <c r="B227" t="s">
        <v>4111</v>
      </c>
      <c r="C227" s="97" t="s">
        <v>2315</v>
      </c>
      <c r="D227" t="s">
        <v>2314</v>
      </c>
      <c r="E227" s="99" t="s">
        <v>3852</v>
      </c>
    </row>
    <row r="228" spans="1:5" x14ac:dyDescent="0.25">
      <c r="A228" t="s">
        <v>1810</v>
      </c>
      <c r="B228" t="s">
        <v>4112</v>
      </c>
      <c r="C228" s="97" t="s">
        <v>3853</v>
      </c>
      <c r="D228" t="s">
        <v>3854</v>
      </c>
      <c r="E228" s="99" t="s">
        <v>3855</v>
      </c>
    </row>
    <row r="229" spans="1:5" x14ac:dyDescent="0.25">
      <c r="A229" t="s">
        <v>3856</v>
      </c>
      <c r="B229" t="s">
        <v>4113</v>
      </c>
      <c r="C229" s="97" t="s">
        <v>3857</v>
      </c>
      <c r="D229" t="s">
        <v>3858</v>
      </c>
      <c r="E229" s="99" t="s">
        <v>3859</v>
      </c>
    </row>
    <row r="230" spans="1:5" x14ac:dyDescent="0.25">
      <c r="A230" t="s">
        <v>547</v>
      </c>
      <c r="B230" t="s">
        <v>4114</v>
      </c>
      <c r="D230" t="s">
        <v>3151</v>
      </c>
      <c r="E230" s="99" t="s">
        <v>3860</v>
      </c>
    </row>
    <row r="231" spans="1:5" x14ac:dyDescent="0.25">
      <c r="A231" t="s">
        <v>3861</v>
      </c>
      <c r="B231" t="s">
        <v>4115</v>
      </c>
      <c r="C231" s="97" t="s">
        <v>3862</v>
      </c>
      <c r="D231" t="s">
        <v>3863</v>
      </c>
      <c r="E231" s="99" t="s">
        <v>3864</v>
      </c>
    </row>
    <row r="232" spans="1:5" x14ac:dyDescent="0.25">
      <c r="A232" t="s">
        <v>3865</v>
      </c>
      <c r="B232" t="s">
        <v>4116</v>
      </c>
      <c r="C232" s="97" t="s">
        <v>3887</v>
      </c>
      <c r="D232" t="s">
        <v>3866</v>
      </c>
      <c r="E232" s="99" t="s">
        <v>3867</v>
      </c>
    </row>
    <row r="233" spans="1:5" x14ac:dyDescent="0.25">
      <c r="A233" t="s">
        <v>3868</v>
      </c>
      <c r="B233" t="s">
        <v>4117</v>
      </c>
      <c r="D233" t="s">
        <v>3869</v>
      </c>
      <c r="E233" s="99" t="s">
        <v>3870</v>
      </c>
    </row>
    <row r="234" spans="1:5" x14ac:dyDescent="0.25">
      <c r="A234" t="s">
        <v>3871</v>
      </c>
      <c r="B234" t="s">
        <v>4118</v>
      </c>
      <c r="C234" s="97" t="s">
        <v>3872</v>
      </c>
      <c r="D234" t="s">
        <v>3873</v>
      </c>
      <c r="E234" s="99" t="s">
        <v>3874</v>
      </c>
    </row>
    <row r="235" spans="1:5" x14ac:dyDescent="0.25">
      <c r="A235" t="s">
        <v>3875</v>
      </c>
      <c r="B235" t="s">
        <v>4119</v>
      </c>
      <c r="C235" s="97" t="s">
        <v>3876</v>
      </c>
      <c r="D235" t="s">
        <v>3877</v>
      </c>
      <c r="E235" s="99" t="s">
        <v>3878</v>
      </c>
    </row>
    <row r="236" spans="1:5" x14ac:dyDescent="0.25">
      <c r="A236" t="s">
        <v>1339</v>
      </c>
      <c r="B236" t="s">
        <v>4120</v>
      </c>
      <c r="D236" t="s">
        <v>3155</v>
      </c>
      <c r="E236" s="99" t="s">
        <v>3879</v>
      </c>
    </row>
    <row r="237" spans="1:5" x14ac:dyDescent="0.25">
      <c r="A237" t="s">
        <v>3880</v>
      </c>
      <c r="B237" t="s">
        <v>4121</v>
      </c>
      <c r="C237" s="97" t="s">
        <v>3881</v>
      </c>
      <c r="D237" t="s">
        <v>3882</v>
      </c>
      <c r="E237" s="99" t="s">
        <v>3883</v>
      </c>
    </row>
    <row r="238" spans="1:5" x14ac:dyDescent="0.25">
      <c r="A238" t="s">
        <v>3884</v>
      </c>
      <c r="B238" t="s">
        <v>4122</v>
      </c>
      <c r="D238" t="s">
        <v>3885</v>
      </c>
      <c r="E238" s="99" t="s">
        <v>3886</v>
      </c>
    </row>
  </sheetData>
  <conditionalFormatting sqref="A2:A238">
    <cfRule type="duplicateValues" dxfId="1" priority="2"/>
  </conditionalFormatting>
  <conditionalFormatting sqref="E2:E238">
    <cfRule type="duplicateValues" dxfId="0" priority="1"/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013CE-91CE-4A3B-8339-86C09017CBBD}">
  <sheetPr codeName="Feuil5"/>
  <dimension ref="A1:H115"/>
  <sheetViews>
    <sheetView topLeftCell="A49" workbookViewId="0">
      <selection sqref="A1:H115"/>
    </sheetView>
  </sheetViews>
  <sheetFormatPr baseColWidth="10" defaultRowHeight="15" x14ac:dyDescent="0.25"/>
  <cols>
    <col min="1" max="1" width="6.5703125" bestFit="1" customWidth="1"/>
    <col min="2" max="2" width="18.7109375" customWidth="1"/>
    <col min="3" max="3" width="11.85546875" bestFit="1" customWidth="1"/>
    <col min="4" max="4" width="22.85546875" bestFit="1" customWidth="1"/>
    <col min="5" max="5" width="11.140625" bestFit="1" customWidth="1"/>
    <col min="6" max="6" width="13.7109375" customWidth="1"/>
    <col min="7" max="7" width="30.140625" customWidth="1"/>
    <col min="8" max="8" width="11" bestFit="1" customWidth="1"/>
    <col min="9" max="9" width="3.5703125" customWidth="1"/>
    <col min="10" max="11" width="13.7109375" bestFit="1" customWidth="1"/>
    <col min="12" max="15" width="14.7109375" bestFit="1" customWidth="1"/>
    <col min="16" max="18" width="20.42578125" bestFit="1" customWidth="1"/>
    <col min="19" max="19" width="36.7109375" bestFit="1" customWidth="1"/>
    <col min="20" max="20" width="29.140625" bestFit="1" customWidth="1"/>
    <col min="21" max="21" width="28.28515625" bestFit="1" customWidth="1"/>
    <col min="22" max="23" width="20.42578125" bestFit="1" customWidth="1"/>
    <col min="24" max="24" width="20.42578125" customWidth="1"/>
    <col min="25" max="26" width="20.42578125" bestFit="1" customWidth="1"/>
    <col min="27" max="29" width="21.42578125" bestFit="1" customWidth="1"/>
    <col min="30" max="30" width="72.28515625" bestFit="1" customWidth="1"/>
  </cols>
  <sheetData>
    <row r="1" spans="1:8" x14ac:dyDescent="0.25">
      <c r="A1" t="s">
        <v>2535</v>
      </c>
      <c r="B1" t="s">
        <v>3157</v>
      </c>
      <c r="C1" t="s">
        <v>2532</v>
      </c>
      <c r="D1" t="s">
        <v>3158</v>
      </c>
      <c r="E1" t="s">
        <v>3159</v>
      </c>
      <c r="F1" t="s">
        <v>3160</v>
      </c>
      <c r="G1" t="s">
        <v>3161</v>
      </c>
      <c r="H1" t="s">
        <v>3162</v>
      </c>
    </row>
    <row r="2" spans="1:8" x14ac:dyDescent="0.25">
      <c r="A2" t="s">
        <v>3168</v>
      </c>
      <c r="B2" t="s">
        <v>2590</v>
      </c>
      <c r="C2" t="s">
        <v>538</v>
      </c>
      <c r="D2" t="s">
        <v>2795</v>
      </c>
      <c r="E2" t="s">
        <v>2796</v>
      </c>
      <c r="F2" t="s">
        <v>2797</v>
      </c>
      <c r="G2" t="s">
        <v>2798</v>
      </c>
      <c r="H2" t="s">
        <v>3255</v>
      </c>
    </row>
    <row r="3" spans="1:8" x14ac:dyDescent="0.25">
      <c r="A3" t="s">
        <v>3168</v>
      </c>
      <c r="B3" t="s">
        <v>3247</v>
      </c>
      <c r="C3" t="s">
        <v>404</v>
      </c>
      <c r="D3" t="s">
        <v>2799</v>
      </c>
      <c r="E3" t="s">
        <v>2800</v>
      </c>
      <c r="F3" t="s">
        <v>2801</v>
      </c>
      <c r="G3" t="s">
        <v>2802</v>
      </c>
      <c r="H3" t="s">
        <v>3248</v>
      </c>
    </row>
    <row r="4" spans="1:8" x14ac:dyDescent="0.25">
      <c r="A4" t="s">
        <v>3168</v>
      </c>
      <c r="B4" t="s">
        <v>3190</v>
      </c>
      <c r="C4" t="s">
        <v>864</v>
      </c>
      <c r="D4" t="s">
        <v>2803</v>
      </c>
      <c r="E4" t="s">
        <v>2804</v>
      </c>
      <c r="F4" t="s">
        <v>2805</v>
      </c>
      <c r="G4" t="s">
        <v>2806</v>
      </c>
      <c r="H4" t="s">
        <v>3191</v>
      </c>
    </row>
    <row r="5" spans="1:8" x14ac:dyDescent="0.25">
      <c r="A5" t="s">
        <v>3168</v>
      </c>
      <c r="B5" t="s">
        <v>2607</v>
      </c>
      <c r="C5" t="s">
        <v>623</v>
      </c>
      <c r="D5" t="s">
        <v>2807</v>
      </c>
      <c r="E5" t="s">
        <v>1690</v>
      </c>
      <c r="F5" t="s">
        <v>1688</v>
      </c>
      <c r="G5" t="s">
        <v>2808</v>
      </c>
      <c r="H5" t="s">
        <v>3170</v>
      </c>
    </row>
    <row r="6" spans="1:8" x14ac:dyDescent="0.25">
      <c r="A6" t="s">
        <v>3168</v>
      </c>
      <c r="B6" t="s">
        <v>2595</v>
      </c>
      <c r="C6" t="s">
        <v>1203</v>
      </c>
      <c r="D6" t="s">
        <v>2809</v>
      </c>
      <c r="E6" t="s">
        <v>2810</v>
      </c>
      <c r="F6" t="s">
        <v>2811</v>
      </c>
      <c r="G6" t="s">
        <v>2812</v>
      </c>
      <c r="H6" t="s">
        <v>3170</v>
      </c>
    </row>
    <row r="7" spans="1:8" x14ac:dyDescent="0.25">
      <c r="A7" t="s">
        <v>3168</v>
      </c>
      <c r="B7" t="s">
        <v>2620</v>
      </c>
      <c r="C7" t="s">
        <v>1439</v>
      </c>
      <c r="D7" t="s">
        <v>2813</v>
      </c>
      <c r="E7" t="s">
        <v>2188</v>
      </c>
      <c r="F7" t="s">
        <v>2186</v>
      </c>
      <c r="G7" t="s">
        <v>2814</v>
      </c>
      <c r="H7" t="s">
        <v>3192</v>
      </c>
    </row>
    <row r="8" spans="1:8" x14ac:dyDescent="0.25">
      <c r="A8" t="s">
        <v>3168</v>
      </c>
      <c r="B8" t="s">
        <v>2583</v>
      </c>
      <c r="C8" t="s">
        <v>1522</v>
      </c>
      <c r="D8" t="s">
        <v>3896</v>
      </c>
      <c r="E8" t="s">
        <v>3348</v>
      </c>
      <c r="F8" t="s">
        <v>2815</v>
      </c>
      <c r="G8" t="s">
        <v>2816</v>
      </c>
      <c r="H8" t="s">
        <v>3214</v>
      </c>
    </row>
    <row r="9" spans="1:8" x14ac:dyDescent="0.25">
      <c r="A9" t="s">
        <v>3168</v>
      </c>
      <c r="B9" t="s">
        <v>2623</v>
      </c>
      <c r="C9" t="s">
        <v>155</v>
      </c>
      <c r="D9" t="s">
        <v>2817</v>
      </c>
      <c r="E9" t="s">
        <v>530</v>
      </c>
      <c r="F9" t="s">
        <v>2818</v>
      </c>
      <c r="G9" t="s">
        <v>2819</v>
      </c>
      <c r="H9" t="s">
        <v>3254</v>
      </c>
    </row>
    <row r="10" spans="1:8" x14ac:dyDescent="0.25">
      <c r="A10" t="s">
        <v>3168</v>
      </c>
      <c r="B10" t="s">
        <v>3169</v>
      </c>
      <c r="C10" t="s">
        <v>108</v>
      </c>
      <c r="D10" t="s">
        <v>2820</v>
      </c>
      <c r="E10" t="s">
        <v>1819</v>
      </c>
      <c r="F10" t="s">
        <v>1818</v>
      </c>
      <c r="G10" t="s">
        <v>2821</v>
      </c>
      <c r="H10" t="s">
        <v>3170</v>
      </c>
    </row>
    <row r="11" spans="1:8" x14ac:dyDescent="0.25">
      <c r="A11" t="s">
        <v>3168</v>
      </c>
      <c r="B11" t="s">
        <v>2588</v>
      </c>
      <c r="C11" t="s">
        <v>1316</v>
      </c>
      <c r="D11" t="s">
        <v>2822</v>
      </c>
      <c r="E11" t="s">
        <v>2823</v>
      </c>
      <c r="F11" t="s">
        <v>2824</v>
      </c>
      <c r="G11" t="s">
        <v>2825</v>
      </c>
      <c r="H11" t="s">
        <v>3241</v>
      </c>
    </row>
    <row r="12" spans="1:8" x14ac:dyDescent="0.25">
      <c r="A12" t="s">
        <v>3168</v>
      </c>
      <c r="B12" t="s">
        <v>3239</v>
      </c>
      <c r="C12" t="s">
        <v>968</v>
      </c>
      <c r="D12" t="s">
        <v>2826</v>
      </c>
      <c r="E12" t="s">
        <v>2827</v>
      </c>
      <c r="F12" t="s">
        <v>2828</v>
      </c>
      <c r="G12" t="s">
        <v>2829</v>
      </c>
      <c r="H12" t="s">
        <v>3240</v>
      </c>
    </row>
    <row r="13" spans="1:8" x14ac:dyDescent="0.25">
      <c r="A13" t="s">
        <v>3168</v>
      </c>
      <c r="B13" t="s">
        <v>2569</v>
      </c>
      <c r="C13" t="s">
        <v>1414</v>
      </c>
      <c r="D13" t="s">
        <v>2830</v>
      </c>
      <c r="E13" t="s">
        <v>1558</v>
      </c>
      <c r="F13" t="s">
        <v>1557</v>
      </c>
      <c r="G13" t="s">
        <v>2831</v>
      </c>
      <c r="H13" t="s">
        <v>3170</v>
      </c>
    </row>
    <row r="14" spans="1:8" x14ac:dyDescent="0.25">
      <c r="A14" t="s">
        <v>3168</v>
      </c>
      <c r="B14" t="s">
        <v>3229</v>
      </c>
      <c r="C14" t="s">
        <v>823</v>
      </c>
      <c r="D14" t="s">
        <v>2832</v>
      </c>
      <c r="E14" t="s">
        <v>1454</v>
      </c>
      <c r="F14" t="s">
        <v>1452</v>
      </c>
      <c r="G14" t="s">
        <v>2833</v>
      </c>
      <c r="H14" t="s">
        <v>3230</v>
      </c>
    </row>
    <row r="15" spans="1:8" x14ac:dyDescent="0.25">
      <c r="A15" t="s">
        <v>3168</v>
      </c>
      <c r="B15" t="s">
        <v>3265</v>
      </c>
      <c r="C15" t="s">
        <v>1075</v>
      </c>
      <c r="D15" t="s">
        <v>2834</v>
      </c>
      <c r="E15" t="s">
        <v>2835</v>
      </c>
      <c r="F15" t="s">
        <v>2836</v>
      </c>
      <c r="G15" t="s">
        <v>2837</v>
      </c>
      <c r="H15" t="s">
        <v>2835</v>
      </c>
    </row>
    <row r="16" spans="1:8" x14ac:dyDescent="0.25">
      <c r="A16" t="s">
        <v>3168</v>
      </c>
      <c r="B16" t="s">
        <v>3193</v>
      </c>
      <c r="C16" t="s">
        <v>586</v>
      </c>
      <c r="D16" t="s">
        <v>3905</v>
      </c>
      <c r="E16" t="s">
        <v>4123</v>
      </c>
      <c r="F16" t="s">
        <v>3364</v>
      </c>
      <c r="G16" t="s">
        <v>2838</v>
      </c>
      <c r="H16" t="s">
        <v>3170</v>
      </c>
    </row>
    <row r="17" spans="1:8" x14ac:dyDescent="0.25">
      <c r="A17" t="s">
        <v>3168</v>
      </c>
      <c r="B17" t="s">
        <v>2567</v>
      </c>
      <c r="C17" t="s">
        <v>942</v>
      </c>
      <c r="D17" t="s">
        <v>2839</v>
      </c>
      <c r="E17" t="s">
        <v>1802</v>
      </c>
      <c r="F17" t="s">
        <v>1801</v>
      </c>
      <c r="G17" t="s">
        <v>2840</v>
      </c>
      <c r="H17" t="s">
        <v>3216</v>
      </c>
    </row>
    <row r="18" spans="1:8" x14ac:dyDescent="0.25">
      <c r="A18" t="s">
        <v>3168</v>
      </c>
      <c r="B18" t="s">
        <v>2609</v>
      </c>
      <c r="C18" t="s">
        <v>56</v>
      </c>
      <c r="D18" t="s">
        <v>2841</v>
      </c>
      <c r="E18" t="s">
        <v>2842</v>
      </c>
      <c r="F18" t="s">
        <v>2843</v>
      </c>
      <c r="G18" t="s">
        <v>2844</v>
      </c>
      <c r="H18" t="s">
        <v>3200</v>
      </c>
    </row>
    <row r="19" spans="1:8" x14ac:dyDescent="0.25">
      <c r="A19" t="s">
        <v>3168</v>
      </c>
      <c r="B19" t="s">
        <v>2562</v>
      </c>
      <c r="C19" t="s">
        <v>66</v>
      </c>
      <c r="D19" t="s">
        <v>2845</v>
      </c>
      <c r="E19" t="s">
        <v>2846</v>
      </c>
      <c r="F19" t="s">
        <v>2847</v>
      </c>
      <c r="G19" t="s">
        <v>2848</v>
      </c>
      <c r="H19" t="s">
        <v>2846</v>
      </c>
    </row>
    <row r="20" spans="1:8" x14ac:dyDescent="0.25">
      <c r="A20" t="s">
        <v>3168</v>
      </c>
      <c r="B20" t="s">
        <v>2602</v>
      </c>
      <c r="C20" t="s">
        <v>2219</v>
      </c>
      <c r="D20" t="s">
        <v>2849</v>
      </c>
      <c r="E20" t="s">
        <v>2850</v>
      </c>
      <c r="F20" t="s">
        <v>2851</v>
      </c>
      <c r="G20" t="s">
        <v>2852</v>
      </c>
      <c r="H20" t="s">
        <v>3238</v>
      </c>
    </row>
    <row r="21" spans="1:8" x14ac:dyDescent="0.25">
      <c r="A21" t="s">
        <v>3168</v>
      </c>
      <c r="B21" t="s">
        <v>2625</v>
      </c>
      <c r="C21" t="s">
        <v>345</v>
      </c>
      <c r="D21" t="s">
        <v>2853</v>
      </c>
      <c r="E21" t="s">
        <v>344</v>
      </c>
      <c r="F21" t="s">
        <v>343</v>
      </c>
      <c r="G21" t="s">
        <v>2854</v>
      </c>
      <c r="H21" t="s">
        <v>3170</v>
      </c>
    </row>
    <row r="22" spans="1:8" x14ac:dyDescent="0.25">
      <c r="A22" t="s">
        <v>3168</v>
      </c>
      <c r="B22" t="s">
        <v>3187</v>
      </c>
      <c r="C22" t="s">
        <v>1003</v>
      </c>
      <c r="D22" t="s">
        <v>2855</v>
      </c>
      <c r="E22" t="s">
        <v>2856</v>
      </c>
      <c r="F22" t="s">
        <v>2857</v>
      </c>
      <c r="G22" t="s">
        <v>2858</v>
      </c>
      <c r="H22" t="s">
        <v>3188</v>
      </c>
    </row>
    <row r="23" spans="1:8" x14ac:dyDescent="0.25">
      <c r="A23" t="s">
        <v>3177</v>
      </c>
      <c r="B23" t="s">
        <v>3202</v>
      </c>
      <c r="C23" t="s">
        <v>1306</v>
      </c>
      <c r="D23" t="s">
        <v>2859</v>
      </c>
      <c r="E23" t="s">
        <v>2860</v>
      </c>
      <c r="F23" t="s">
        <v>2861</v>
      </c>
      <c r="G23" t="s">
        <v>2862</v>
      </c>
      <c r="H23" t="s">
        <v>3203</v>
      </c>
    </row>
    <row r="24" spans="1:8" x14ac:dyDescent="0.25">
      <c r="A24" t="s">
        <v>3177</v>
      </c>
      <c r="B24" t="s">
        <v>2695</v>
      </c>
      <c r="C24" t="s">
        <v>2723</v>
      </c>
      <c r="D24" t="s">
        <v>2863</v>
      </c>
      <c r="E24" t="s">
        <v>2864</v>
      </c>
      <c r="F24" t="s">
        <v>2865</v>
      </c>
      <c r="G24" t="s">
        <v>2866</v>
      </c>
      <c r="H24" t="s">
        <v>2864</v>
      </c>
    </row>
    <row r="25" spans="1:8" x14ac:dyDescent="0.25">
      <c r="A25" t="s">
        <v>3177</v>
      </c>
      <c r="B25" t="s">
        <v>2697</v>
      </c>
      <c r="C25" t="s">
        <v>77</v>
      </c>
      <c r="D25" t="s">
        <v>3928</v>
      </c>
      <c r="E25" t="s">
        <v>4124</v>
      </c>
      <c r="F25" t="s">
        <v>3430</v>
      </c>
      <c r="G25" t="s">
        <v>2867</v>
      </c>
      <c r="H25" t="s">
        <v>3218</v>
      </c>
    </row>
    <row r="26" spans="1:8" x14ac:dyDescent="0.25">
      <c r="A26" t="s">
        <v>3177</v>
      </c>
      <c r="B26" t="s">
        <v>3208</v>
      </c>
      <c r="C26" t="s">
        <v>236</v>
      </c>
      <c r="D26" t="s">
        <v>2868</v>
      </c>
      <c r="E26" t="s">
        <v>235</v>
      </c>
      <c r="F26" t="s">
        <v>234</v>
      </c>
      <c r="G26" t="s">
        <v>2869</v>
      </c>
      <c r="H26" t="s">
        <v>3209</v>
      </c>
    </row>
    <row r="27" spans="1:8" x14ac:dyDescent="0.25">
      <c r="A27" t="s">
        <v>3177</v>
      </c>
      <c r="B27" t="s">
        <v>2691</v>
      </c>
      <c r="C27" t="s">
        <v>274</v>
      </c>
      <c r="D27" t="s">
        <v>2870</v>
      </c>
      <c r="E27" t="s">
        <v>273</v>
      </c>
      <c r="F27" t="s">
        <v>271</v>
      </c>
      <c r="G27" t="s">
        <v>2871</v>
      </c>
      <c r="H27" t="s">
        <v>3170</v>
      </c>
    </row>
    <row r="28" spans="1:8" x14ac:dyDescent="0.25">
      <c r="A28" t="s">
        <v>3177</v>
      </c>
      <c r="B28" t="s">
        <v>3201</v>
      </c>
      <c r="C28" t="s">
        <v>2872</v>
      </c>
      <c r="D28" t="s">
        <v>2873</v>
      </c>
      <c r="E28" t="s">
        <v>2874</v>
      </c>
      <c r="F28" t="s">
        <v>2875</v>
      </c>
      <c r="G28" t="s">
        <v>2876</v>
      </c>
      <c r="H28" t="s">
        <v>3170</v>
      </c>
    </row>
    <row r="29" spans="1:8" x14ac:dyDescent="0.25">
      <c r="A29" t="s">
        <v>3177</v>
      </c>
      <c r="B29" t="s">
        <v>3219</v>
      </c>
      <c r="C29" t="s">
        <v>305</v>
      </c>
      <c r="D29" t="s">
        <v>2877</v>
      </c>
      <c r="E29" t="s">
        <v>304</v>
      </c>
      <c r="F29" t="s">
        <v>302</v>
      </c>
      <c r="G29" t="s">
        <v>2878</v>
      </c>
      <c r="H29" t="s">
        <v>3170</v>
      </c>
    </row>
    <row r="30" spans="1:8" x14ac:dyDescent="0.25">
      <c r="A30" t="s">
        <v>3177</v>
      </c>
      <c r="B30" t="s">
        <v>2696</v>
      </c>
      <c r="C30" t="s">
        <v>2323</v>
      </c>
      <c r="D30" t="s">
        <v>2879</v>
      </c>
      <c r="E30" t="s">
        <v>2880</v>
      </c>
      <c r="F30" t="s">
        <v>2881</v>
      </c>
      <c r="G30" t="s">
        <v>2882</v>
      </c>
      <c r="H30" t="s">
        <v>3170</v>
      </c>
    </row>
    <row r="31" spans="1:8" x14ac:dyDescent="0.25">
      <c r="A31" t="s">
        <v>3177</v>
      </c>
      <c r="B31" t="s">
        <v>2707</v>
      </c>
      <c r="C31" t="s">
        <v>284</v>
      </c>
      <c r="D31" t="s">
        <v>2883</v>
      </c>
      <c r="E31" t="s">
        <v>283</v>
      </c>
      <c r="F31" t="s">
        <v>282</v>
      </c>
      <c r="G31" t="s">
        <v>2884</v>
      </c>
      <c r="H31" t="s">
        <v>3170</v>
      </c>
    </row>
    <row r="32" spans="1:8" x14ac:dyDescent="0.25">
      <c r="A32" t="s">
        <v>3177</v>
      </c>
      <c r="B32" t="s">
        <v>3258</v>
      </c>
      <c r="C32" t="s">
        <v>2726</v>
      </c>
      <c r="D32" t="s">
        <v>2885</v>
      </c>
      <c r="E32" t="s">
        <v>2886</v>
      </c>
      <c r="F32" t="s">
        <v>2887</v>
      </c>
      <c r="G32" t="s">
        <v>2888</v>
      </c>
      <c r="H32" t="s">
        <v>3259</v>
      </c>
    </row>
    <row r="33" spans="1:8" x14ac:dyDescent="0.25">
      <c r="A33" t="s">
        <v>3177</v>
      </c>
      <c r="B33" t="s">
        <v>3262</v>
      </c>
      <c r="C33" t="s">
        <v>2145</v>
      </c>
      <c r="D33" t="s">
        <v>2889</v>
      </c>
      <c r="E33" t="s">
        <v>2144</v>
      </c>
      <c r="F33" t="s">
        <v>2142</v>
      </c>
      <c r="G33" t="s">
        <v>2890</v>
      </c>
      <c r="H33" t="s">
        <v>3263</v>
      </c>
    </row>
    <row r="34" spans="1:8" x14ac:dyDescent="0.25">
      <c r="A34" t="s">
        <v>3177</v>
      </c>
      <c r="B34" t="s">
        <v>2699</v>
      </c>
      <c r="C34" t="s">
        <v>2698</v>
      </c>
      <c r="D34" t="s">
        <v>2891</v>
      </c>
      <c r="E34" t="s">
        <v>2892</v>
      </c>
      <c r="F34" t="s">
        <v>2893</v>
      </c>
      <c r="G34" t="s">
        <v>2894</v>
      </c>
      <c r="H34" t="s">
        <v>3170</v>
      </c>
    </row>
    <row r="35" spans="1:8" x14ac:dyDescent="0.25">
      <c r="A35" t="s">
        <v>3177</v>
      </c>
      <c r="B35" t="s">
        <v>3227</v>
      </c>
      <c r="C35" t="s">
        <v>1286</v>
      </c>
      <c r="D35" t="s">
        <v>2895</v>
      </c>
      <c r="E35" t="s">
        <v>1515</v>
      </c>
      <c r="F35" t="s">
        <v>1513</v>
      </c>
      <c r="G35" t="s">
        <v>2896</v>
      </c>
      <c r="H35" t="s">
        <v>1515</v>
      </c>
    </row>
    <row r="36" spans="1:8" x14ac:dyDescent="0.25">
      <c r="A36" t="s">
        <v>3177</v>
      </c>
      <c r="B36" t="s">
        <v>2686</v>
      </c>
      <c r="C36" t="s">
        <v>1826</v>
      </c>
      <c r="D36" t="s">
        <v>2897</v>
      </c>
      <c r="E36" t="s">
        <v>2898</v>
      </c>
      <c r="F36" t="s">
        <v>2899</v>
      </c>
      <c r="G36" t="s">
        <v>2900</v>
      </c>
      <c r="H36" t="s">
        <v>3170</v>
      </c>
    </row>
    <row r="37" spans="1:8" x14ac:dyDescent="0.25">
      <c r="A37" t="s">
        <v>3177</v>
      </c>
      <c r="B37" t="s">
        <v>2690</v>
      </c>
      <c r="C37" t="s">
        <v>2473</v>
      </c>
      <c r="D37" t="s">
        <v>2901</v>
      </c>
      <c r="E37" t="s">
        <v>2902</v>
      </c>
      <c r="F37" t="s">
        <v>2903</v>
      </c>
      <c r="G37" t="s">
        <v>2904</v>
      </c>
      <c r="H37" t="s">
        <v>3170</v>
      </c>
    </row>
    <row r="38" spans="1:8" x14ac:dyDescent="0.25">
      <c r="A38" t="s">
        <v>3177</v>
      </c>
      <c r="B38" t="s">
        <v>3178</v>
      </c>
      <c r="C38" t="s">
        <v>717</v>
      </c>
      <c r="D38" t="s">
        <v>2905</v>
      </c>
      <c r="E38" t="s">
        <v>2906</v>
      </c>
      <c r="F38" t="s">
        <v>2907</v>
      </c>
      <c r="G38" t="s">
        <v>2908</v>
      </c>
      <c r="H38" t="s">
        <v>3179</v>
      </c>
    </row>
    <row r="39" spans="1:8" x14ac:dyDescent="0.25">
      <c r="A39" t="s">
        <v>3177</v>
      </c>
      <c r="B39" t="s">
        <v>3253</v>
      </c>
      <c r="C39" t="s">
        <v>1030</v>
      </c>
      <c r="D39" t="s">
        <v>3955</v>
      </c>
      <c r="E39" t="s">
        <v>3484</v>
      </c>
      <c r="F39" t="s">
        <v>3485</v>
      </c>
      <c r="G39" t="s">
        <v>2909</v>
      </c>
      <c r="H39" t="s">
        <v>3170</v>
      </c>
    </row>
    <row r="40" spans="1:8" x14ac:dyDescent="0.25">
      <c r="A40" t="s">
        <v>3177</v>
      </c>
      <c r="B40" t="s">
        <v>2705</v>
      </c>
      <c r="C40" t="s">
        <v>2704</v>
      </c>
      <c r="D40" t="s">
        <v>2910</v>
      </c>
      <c r="E40" t="s">
        <v>2911</v>
      </c>
      <c r="F40" t="s">
        <v>2912</v>
      </c>
      <c r="G40" t="s">
        <v>2913</v>
      </c>
      <c r="H40" t="s">
        <v>3199</v>
      </c>
    </row>
    <row r="41" spans="1:8" x14ac:dyDescent="0.25">
      <c r="A41" t="s">
        <v>3177</v>
      </c>
      <c r="B41" t="s">
        <v>3222</v>
      </c>
      <c r="C41" t="s">
        <v>1913</v>
      </c>
      <c r="D41" t="s">
        <v>2914</v>
      </c>
      <c r="E41" t="s">
        <v>2915</v>
      </c>
      <c r="F41" t="s">
        <v>2916</v>
      </c>
      <c r="G41" t="s">
        <v>2917</v>
      </c>
      <c r="H41" t="s">
        <v>3223</v>
      </c>
    </row>
    <row r="42" spans="1:8" x14ac:dyDescent="0.25">
      <c r="A42" t="s">
        <v>3177</v>
      </c>
      <c r="B42" t="s">
        <v>3232</v>
      </c>
      <c r="C42" t="s">
        <v>367</v>
      </c>
      <c r="D42" t="s">
        <v>2918</v>
      </c>
      <c r="E42" t="s">
        <v>2919</v>
      </c>
      <c r="F42" t="s">
        <v>2920</v>
      </c>
      <c r="G42" t="s">
        <v>2921</v>
      </c>
      <c r="H42" t="s">
        <v>3233</v>
      </c>
    </row>
    <row r="43" spans="1:8" x14ac:dyDescent="0.25">
      <c r="A43" t="s">
        <v>3177</v>
      </c>
      <c r="B43" t="s">
        <v>2678</v>
      </c>
      <c r="C43" t="s">
        <v>597</v>
      </c>
      <c r="D43" t="s">
        <v>2922</v>
      </c>
      <c r="E43" t="s">
        <v>2923</v>
      </c>
      <c r="F43" t="s">
        <v>2924</v>
      </c>
      <c r="G43" t="s">
        <v>2925</v>
      </c>
      <c r="H43" t="s">
        <v>2923</v>
      </c>
    </row>
    <row r="44" spans="1:8" x14ac:dyDescent="0.25">
      <c r="A44" t="s">
        <v>3167</v>
      </c>
      <c r="B44" t="s">
        <v>2580</v>
      </c>
      <c r="C44" t="s">
        <v>1468</v>
      </c>
      <c r="D44" t="s">
        <v>2926</v>
      </c>
      <c r="E44" t="s">
        <v>2927</v>
      </c>
      <c r="F44" t="s">
        <v>2928</v>
      </c>
      <c r="G44" t="s">
        <v>2929</v>
      </c>
      <c r="H44" t="s">
        <v>3195</v>
      </c>
    </row>
    <row r="45" spans="1:8" x14ac:dyDescent="0.25">
      <c r="A45" t="s">
        <v>3167</v>
      </c>
      <c r="B45" t="s">
        <v>2615</v>
      </c>
      <c r="C45" t="s">
        <v>173</v>
      </c>
      <c r="D45" t="s">
        <v>2930</v>
      </c>
      <c r="E45" t="s">
        <v>2931</v>
      </c>
      <c r="F45" t="s">
        <v>2932</v>
      </c>
      <c r="G45" t="s">
        <v>2933</v>
      </c>
      <c r="H45" t="s">
        <v>3225</v>
      </c>
    </row>
    <row r="46" spans="1:8" x14ac:dyDescent="0.25">
      <c r="A46" t="s">
        <v>3167</v>
      </c>
      <c r="B46" t="s">
        <v>3184</v>
      </c>
      <c r="C46" t="s">
        <v>1714</v>
      </c>
      <c r="D46" t="s">
        <v>2934</v>
      </c>
      <c r="E46" t="s">
        <v>2935</v>
      </c>
      <c r="F46" t="s">
        <v>2936</v>
      </c>
      <c r="G46" t="s">
        <v>2937</v>
      </c>
      <c r="H46" t="s">
        <v>3170</v>
      </c>
    </row>
    <row r="47" spans="1:8" x14ac:dyDescent="0.25">
      <c r="A47" t="s">
        <v>3167</v>
      </c>
      <c r="B47" t="s">
        <v>3260</v>
      </c>
      <c r="C47" t="s">
        <v>294</v>
      </c>
      <c r="D47" t="s">
        <v>2938</v>
      </c>
      <c r="E47" t="s">
        <v>2939</v>
      </c>
      <c r="F47" t="s">
        <v>2940</v>
      </c>
      <c r="G47" t="s">
        <v>2941</v>
      </c>
      <c r="H47" t="s">
        <v>3261</v>
      </c>
    </row>
    <row r="48" spans="1:8" x14ac:dyDescent="0.25">
      <c r="A48" t="s">
        <v>3167</v>
      </c>
      <c r="B48" t="s">
        <v>2570</v>
      </c>
      <c r="C48" t="s">
        <v>98</v>
      </c>
      <c r="D48" t="s">
        <v>2942</v>
      </c>
      <c r="E48" t="s">
        <v>1187</v>
      </c>
      <c r="F48" t="s">
        <v>1186</v>
      </c>
      <c r="G48" t="s">
        <v>2943</v>
      </c>
      <c r="H48" t="s">
        <v>3264</v>
      </c>
    </row>
    <row r="49" spans="1:8" x14ac:dyDescent="0.25">
      <c r="A49" t="s">
        <v>3167</v>
      </c>
      <c r="B49" t="s">
        <v>2639</v>
      </c>
      <c r="C49" t="s">
        <v>707</v>
      </c>
      <c r="D49" t="s">
        <v>2944</v>
      </c>
      <c r="E49" t="s">
        <v>2945</v>
      </c>
      <c r="F49" t="s">
        <v>2946</v>
      </c>
      <c r="G49" t="s">
        <v>2947</v>
      </c>
      <c r="H49" t="s">
        <v>3170</v>
      </c>
    </row>
    <row r="50" spans="1:8" x14ac:dyDescent="0.25">
      <c r="A50" t="s">
        <v>3167</v>
      </c>
      <c r="B50" t="s">
        <v>3226</v>
      </c>
      <c r="C50" t="s">
        <v>1179</v>
      </c>
      <c r="D50" t="s">
        <v>2948</v>
      </c>
      <c r="E50" t="s">
        <v>2949</v>
      </c>
      <c r="F50" t="s">
        <v>2950</v>
      </c>
      <c r="G50" t="s">
        <v>2951</v>
      </c>
      <c r="H50" t="s">
        <v>1447</v>
      </c>
    </row>
    <row r="51" spans="1:8" x14ac:dyDescent="0.25">
      <c r="A51" t="s">
        <v>3167</v>
      </c>
      <c r="B51" t="s">
        <v>2601</v>
      </c>
      <c r="C51" t="s">
        <v>145</v>
      </c>
      <c r="D51" t="s">
        <v>2952</v>
      </c>
      <c r="E51" t="s">
        <v>838</v>
      </c>
      <c r="F51" t="s">
        <v>837</v>
      </c>
      <c r="G51" t="s">
        <v>2953</v>
      </c>
      <c r="H51" t="s">
        <v>3170</v>
      </c>
    </row>
    <row r="52" spans="1:8" x14ac:dyDescent="0.25">
      <c r="A52" t="s">
        <v>3167</v>
      </c>
      <c r="B52" t="s">
        <v>2610</v>
      </c>
      <c r="C52" t="s">
        <v>246</v>
      </c>
      <c r="D52" t="s">
        <v>2954</v>
      </c>
      <c r="E52" t="s">
        <v>315</v>
      </c>
      <c r="F52" t="s">
        <v>313</v>
      </c>
      <c r="G52" t="s">
        <v>2955</v>
      </c>
      <c r="H52" t="s">
        <v>3228</v>
      </c>
    </row>
    <row r="53" spans="1:8" x14ac:dyDescent="0.25">
      <c r="A53" t="s">
        <v>3167</v>
      </c>
      <c r="B53" t="s">
        <v>2589</v>
      </c>
      <c r="C53" t="s">
        <v>854</v>
      </c>
      <c r="D53" t="s">
        <v>2956</v>
      </c>
      <c r="E53" t="s">
        <v>2957</v>
      </c>
      <c r="F53" t="s">
        <v>2958</v>
      </c>
      <c r="G53" t="s">
        <v>2959</v>
      </c>
      <c r="H53" t="s">
        <v>3231</v>
      </c>
    </row>
    <row r="54" spans="1:8" x14ac:dyDescent="0.25">
      <c r="A54" t="s">
        <v>3167</v>
      </c>
      <c r="B54" t="s">
        <v>2655</v>
      </c>
      <c r="C54" t="s">
        <v>478</v>
      </c>
      <c r="D54" t="s">
        <v>2960</v>
      </c>
      <c r="E54" t="s">
        <v>2961</v>
      </c>
      <c r="F54" t="s">
        <v>2962</v>
      </c>
      <c r="G54" t="s">
        <v>2963</v>
      </c>
      <c r="H54" t="s">
        <v>3196</v>
      </c>
    </row>
    <row r="55" spans="1:8" x14ac:dyDescent="0.25">
      <c r="A55" t="s">
        <v>3167</v>
      </c>
      <c r="B55" t="s">
        <v>2593</v>
      </c>
      <c r="C55" t="s">
        <v>1591</v>
      </c>
      <c r="D55" t="s">
        <v>2964</v>
      </c>
      <c r="E55" t="s">
        <v>2965</v>
      </c>
      <c r="F55" t="s">
        <v>2966</v>
      </c>
      <c r="G55" t="s">
        <v>2967</v>
      </c>
      <c r="H55" t="s">
        <v>3170</v>
      </c>
    </row>
    <row r="56" spans="1:8" x14ac:dyDescent="0.25">
      <c r="A56" t="s">
        <v>3167</v>
      </c>
      <c r="B56" t="s">
        <v>2669</v>
      </c>
      <c r="C56" t="s">
        <v>2495</v>
      </c>
      <c r="D56" t="s">
        <v>2968</v>
      </c>
      <c r="E56" t="s">
        <v>2969</v>
      </c>
      <c r="F56" t="s">
        <v>2970</v>
      </c>
      <c r="G56" t="s">
        <v>2971</v>
      </c>
      <c r="H56" t="s">
        <v>3213</v>
      </c>
    </row>
    <row r="57" spans="1:8" x14ac:dyDescent="0.25">
      <c r="A57" t="s">
        <v>3167</v>
      </c>
      <c r="B57" t="s">
        <v>2626</v>
      </c>
      <c r="C57" t="s">
        <v>1533</v>
      </c>
      <c r="D57" t="s">
        <v>3985</v>
      </c>
      <c r="E57" t="s">
        <v>4125</v>
      </c>
      <c r="F57" t="s">
        <v>3557</v>
      </c>
      <c r="G57" t="s">
        <v>2972</v>
      </c>
      <c r="H57" t="s">
        <v>3170</v>
      </c>
    </row>
    <row r="58" spans="1:8" x14ac:dyDescent="0.25">
      <c r="A58" t="s">
        <v>3167</v>
      </c>
      <c r="B58" t="s">
        <v>3172</v>
      </c>
      <c r="C58" t="s">
        <v>1213</v>
      </c>
      <c r="D58" t="s">
        <v>2973</v>
      </c>
      <c r="E58" t="s">
        <v>2974</v>
      </c>
      <c r="F58" t="s">
        <v>2975</v>
      </c>
      <c r="G58" t="s">
        <v>2976</v>
      </c>
      <c r="H58" t="s">
        <v>3170</v>
      </c>
    </row>
    <row r="59" spans="1:8" x14ac:dyDescent="0.25">
      <c r="A59" t="s">
        <v>3167</v>
      </c>
      <c r="B59" t="s">
        <v>2643</v>
      </c>
      <c r="C59" t="s">
        <v>691</v>
      </c>
      <c r="D59" t="s">
        <v>2977</v>
      </c>
      <c r="E59" t="s">
        <v>2978</v>
      </c>
      <c r="F59" t="s">
        <v>2979</v>
      </c>
      <c r="G59" t="s">
        <v>2980</v>
      </c>
      <c r="H59" t="s">
        <v>3194</v>
      </c>
    </row>
    <row r="60" spans="1:8" x14ac:dyDescent="0.25">
      <c r="A60" t="s">
        <v>3167</v>
      </c>
      <c r="B60" t="s">
        <v>3234</v>
      </c>
      <c r="C60" t="s">
        <v>1364</v>
      </c>
      <c r="D60" t="s">
        <v>2981</v>
      </c>
      <c r="E60" t="s">
        <v>2982</v>
      </c>
      <c r="F60" t="s">
        <v>2983</v>
      </c>
      <c r="G60" t="s">
        <v>2984</v>
      </c>
      <c r="H60" t="s">
        <v>3235</v>
      </c>
    </row>
    <row r="61" spans="1:8" x14ac:dyDescent="0.25">
      <c r="A61" t="s">
        <v>3167</v>
      </c>
      <c r="B61" t="s">
        <v>2565</v>
      </c>
      <c r="C61" t="s">
        <v>189</v>
      </c>
      <c r="D61" t="s">
        <v>3994</v>
      </c>
      <c r="E61" t="s">
        <v>2017</v>
      </c>
      <c r="F61" t="s">
        <v>2016</v>
      </c>
      <c r="G61" t="s">
        <v>2985</v>
      </c>
      <c r="H61" t="s">
        <v>3243</v>
      </c>
    </row>
    <row r="62" spans="1:8" x14ac:dyDescent="0.25">
      <c r="A62" t="s">
        <v>3167</v>
      </c>
      <c r="B62" t="s">
        <v>2585</v>
      </c>
      <c r="C62" t="s">
        <v>45</v>
      </c>
      <c r="D62" t="s">
        <v>2986</v>
      </c>
      <c r="E62" t="s">
        <v>209</v>
      </c>
      <c r="F62" t="s">
        <v>207</v>
      </c>
      <c r="G62" t="s">
        <v>2987</v>
      </c>
      <c r="H62" t="s">
        <v>3181</v>
      </c>
    </row>
    <row r="63" spans="1:8" x14ac:dyDescent="0.25">
      <c r="A63" t="s">
        <v>3167</v>
      </c>
      <c r="B63" t="s">
        <v>2638</v>
      </c>
      <c r="C63" t="s">
        <v>813</v>
      </c>
      <c r="D63" t="s">
        <v>2988</v>
      </c>
      <c r="E63" t="s">
        <v>2455</v>
      </c>
      <c r="F63" t="s">
        <v>2453</v>
      </c>
      <c r="G63" t="s">
        <v>2989</v>
      </c>
      <c r="H63" t="s">
        <v>3170</v>
      </c>
    </row>
    <row r="64" spans="1:8" x14ac:dyDescent="0.25">
      <c r="A64" t="s">
        <v>3167</v>
      </c>
      <c r="B64" t="s">
        <v>3245</v>
      </c>
      <c r="C64" t="s">
        <v>1642</v>
      </c>
      <c r="D64" t="s">
        <v>2990</v>
      </c>
      <c r="E64" t="s">
        <v>2991</v>
      </c>
      <c r="F64" t="s">
        <v>2992</v>
      </c>
      <c r="G64" t="s">
        <v>2993</v>
      </c>
      <c r="H64" t="s">
        <v>3246</v>
      </c>
    </row>
    <row r="65" spans="1:8" x14ac:dyDescent="0.25">
      <c r="A65" t="s">
        <v>3167</v>
      </c>
      <c r="B65" t="s">
        <v>2598</v>
      </c>
      <c r="C65" t="s">
        <v>2063</v>
      </c>
      <c r="D65" t="s">
        <v>2994</v>
      </c>
      <c r="E65" t="s">
        <v>2995</v>
      </c>
      <c r="F65" t="s">
        <v>2996</v>
      </c>
      <c r="G65" t="s">
        <v>2997</v>
      </c>
      <c r="H65" t="s">
        <v>3170</v>
      </c>
    </row>
    <row r="66" spans="1:8" x14ac:dyDescent="0.25">
      <c r="A66" t="s">
        <v>3167</v>
      </c>
      <c r="B66" t="s">
        <v>2660</v>
      </c>
      <c r="C66" t="s">
        <v>734</v>
      </c>
      <c r="D66" t="s">
        <v>2998</v>
      </c>
      <c r="E66" t="s">
        <v>2448</v>
      </c>
      <c r="F66" t="s">
        <v>2447</v>
      </c>
      <c r="G66" t="s">
        <v>2999</v>
      </c>
      <c r="H66" t="s">
        <v>2448</v>
      </c>
    </row>
    <row r="67" spans="1:8" x14ac:dyDescent="0.25">
      <c r="A67" t="s">
        <v>3167</v>
      </c>
      <c r="B67" t="s">
        <v>2618</v>
      </c>
      <c r="C67" t="s">
        <v>1961</v>
      </c>
      <c r="D67" t="s">
        <v>4006</v>
      </c>
      <c r="E67" t="s">
        <v>3603</v>
      </c>
      <c r="F67" t="s">
        <v>3604</v>
      </c>
      <c r="G67" t="s">
        <v>3000</v>
      </c>
      <c r="H67" t="s">
        <v>3170</v>
      </c>
    </row>
    <row r="68" spans="1:8" x14ac:dyDescent="0.25">
      <c r="A68" t="s">
        <v>3165</v>
      </c>
      <c r="B68" t="s">
        <v>2559</v>
      </c>
      <c r="C68" t="s">
        <v>182</v>
      </c>
      <c r="D68" t="s">
        <v>3001</v>
      </c>
      <c r="E68" t="s">
        <v>1969</v>
      </c>
      <c r="F68" t="s">
        <v>1968</v>
      </c>
      <c r="G68" t="s">
        <v>3002</v>
      </c>
      <c r="H68" t="s">
        <v>3166</v>
      </c>
    </row>
    <row r="69" spans="1:8" x14ac:dyDescent="0.25">
      <c r="A69" t="s">
        <v>3165</v>
      </c>
      <c r="B69" t="s">
        <v>2560</v>
      </c>
      <c r="C69" t="s">
        <v>34</v>
      </c>
      <c r="D69" t="s">
        <v>3003</v>
      </c>
      <c r="E69" t="s">
        <v>3004</v>
      </c>
      <c r="F69" t="s">
        <v>3005</v>
      </c>
      <c r="G69" t="s">
        <v>3006</v>
      </c>
      <c r="H69" t="s">
        <v>3004</v>
      </c>
    </row>
    <row r="70" spans="1:8" x14ac:dyDescent="0.25">
      <c r="A70" t="s">
        <v>3165</v>
      </c>
      <c r="B70" t="s">
        <v>3197</v>
      </c>
      <c r="C70" t="s">
        <v>906</v>
      </c>
      <c r="D70" t="s">
        <v>3007</v>
      </c>
      <c r="E70" t="s">
        <v>3008</v>
      </c>
      <c r="F70" t="s">
        <v>3009</v>
      </c>
      <c r="G70" t="s">
        <v>3010</v>
      </c>
      <c r="H70" t="s">
        <v>3198</v>
      </c>
    </row>
    <row r="71" spans="1:8" x14ac:dyDescent="0.25">
      <c r="A71" t="s">
        <v>3165</v>
      </c>
      <c r="B71" t="s">
        <v>3180</v>
      </c>
      <c r="C71" t="s">
        <v>1875</v>
      </c>
      <c r="D71" t="s">
        <v>3011</v>
      </c>
      <c r="E71" t="s">
        <v>1874</v>
      </c>
      <c r="F71" t="s">
        <v>1872</v>
      </c>
      <c r="G71" t="s">
        <v>3012</v>
      </c>
      <c r="H71" t="s">
        <v>3170</v>
      </c>
    </row>
    <row r="72" spans="1:8" x14ac:dyDescent="0.25">
      <c r="A72" t="s">
        <v>3165</v>
      </c>
      <c r="B72" t="s">
        <v>3251</v>
      </c>
      <c r="C72" t="s">
        <v>1133</v>
      </c>
      <c r="D72" t="s">
        <v>3013</v>
      </c>
      <c r="E72" t="s">
        <v>3014</v>
      </c>
      <c r="F72" t="s">
        <v>3015</v>
      </c>
      <c r="G72" t="s">
        <v>3016</v>
      </c>
      <c r="H72" t="s">
        <v>3252</v>
      </c>
    </row>
    <row r="73" spans="1:8" x14ac:dyDescent="0.25">
      <c r="A73" t="s">
        <v>3165</v>
      </c>
      <c r="B73" t="s">
        <v>3211</v>
      </c>
      <c r="C73" t="s">
        <v>1743</v>
      </c>
      <c r="D73" t="s">
        <v>3017</v>
      </c>
      <c r="E73" t="s">
        <v>3018</v>
      </c>
      <c r="F73" t="s">
        <v>3019</v>
      </c>
      <c r="G73" t="s">
        <v>3020</v>
      </c>
      <c r="H73" t="s">
        <v>3170</v>
      </c>
    </row>
    <row r="74" spans="1:8" x14ac:dyDescent="0.25">
      <c r="A74" t="s">
        <v>3165</v>
      </c>
      <c r="B74" t="s">
        <v>2628</v>
      </c>
      <c r="C74" t="s">
        <v>2722</v>
      </c>
      <c r="D74" t="s">
        <v>3021</v>
      </c>
      <c r="E74" t="s">
        <v>3022</v>
      </c>
      <c r="F74" t="s">
        <v>3023</v>
      </c>
      <c r="G74" t="s">
        <v>3024</v>
      </c>
      <c r="H74" t="s">
        <v>3189</v>
      </c>
    </row>
    <row r="75" spans="1:8" x14ac:dyDescent="0.25">
      <c r="A75" t="s">
        <v>3165</v>
      </c>
      <c r="B75" t="s">
        <v>2667</v>
      </c>
      <c r="C75" t="s">
        <v>324</v>
      </c>
      <c r="D75" t="s">
        <v>3025</v>
      </c>
      <c r="E75" t="s">
        <v>3026</v>
      </c>
      <c r="F75" t="s">
        <v>3027</v>
      </c>
      <c r="G75" t="s">
        <v>3028</v>
      </c>
      <c r="H75" t="s">
        <v>3210</v>
      </c>
    </row>
    <row r="76" spans="1:8" x14ac:dyDescent="0.25">
      <c r="A76" t="s">
        <v>3165</v>
      </c>
      <c r="B76" t="s">
        <v>2621</v>
      </c>
      <c r="C76" t="s">
        <v>433</v>
      </c>
      <c r="D76" t="s">
        <v>3029</v>
      </c>
      <c r="E76" t="s">
        <v>3030</v>
      </c>
      <c r="F76" t="s">
        <v>3031</v>
      </c>
      <c r="G76" t="s">
        <v>3032</v>
      </c>
      <c r="H76" t="s">
        <v>1633</v>
      </c>
    </row>
    <row r="77" spans="1:8" x14ac:dyDescent="0.25">
      <c r="A77" t="s">
        <v>3165</v>
      </c>
      <c r="B77" t="s">
        <v>3182</v>
      </c>
      <c r="C77" t="s">
        <v>376</v>
      </c>
      <c r="D77" t="s">
        <v>4031</v>
      </c>
      <c r="E77" t="s">
        <v>4126</v>
      </c>
      <c r="F77" t="s">
        <v>3664</v>
      </c>
      <c r="G77" t="s">
        <v>3033</v>
      </c>
      <c r="H77" t="s">
        <v>3183</v>
      </c>
    </row>
    <row r="78" spans="1:8" x14ac:dyDescent="0.25">
      <c r="A78" t="s">
        <v>3165</v>
      </c>
      <c r="B78" t="s">
        <v>2612</v>
      </c>
      <c r="C78" t="s">
        <v>256</v>
      </c>
      <c r="D78" t="s">
        <v>3034</v>
      </c>
      <c r="E78" t="s">
        <v>255</v>
      </c>
      <c r="F78" t="s">
        <v>254</v>
      </c>
      <c r="G78" t="s">
        <v>3035</v>
      </c>
      <c r="H78" t="s">
        <v>3170</v>
      </c>
    </row>
    <row r="79" spans="1:8" x14ac:dyDescent="0.25">
      <c r="A79" t="s">
        <v>3163</v>
      </c>
      <c r="B79" t="s">
        <v>2684</v>
      </c>
      <c r="C79" t="s">
        <v>199</v>
      </c>
      <c r="D79" t="s">
        <v>4040</v>
      </c>
      <c r="E79" t="s">
        <v>2425</v>
      </c>
      <c r="F79" t="s">
        <v>2424</v>
      </c>
      <c r="G79" t="s">
        <v>3036</v>
      </c>
      <c r="H79" t="s">
        <v>3170</v>
      </c>
    </row>
    <row r="80" spans="1:8" x14ac:dyDescent="0.25">
      <c r="A80" t="s">
        <v>3163</v>
      </c>
      <c r="B80" t="s">
        <v>2703</v>
      </c>
      <c r="C80" t="s">
        <v>1094</v>
      </c>
      <c r="D80" t="s">
        <v>3037</v>
      </c>
      <c r="E80" t="s">
        <v>3038</v>
      </c>
      <c r="F80" t="s">
        <v>3039</v>
      </c>
      <c r="G80" t="s">
        <v>3040</v>
      </c>
      <c r="H80" t="s">
        <v>3170</v>
      </c>
    </row>
    <row r="81" spans="1:8" x14ac:dyDescent="0.25">
      <c r="A81" t="s">
        <v>3163</v>
      </c>
      <c r="B81" t="s">
        <v>2702</v>
      </c>
      <c r="C81" t="s">
        <v>557</v>
      </c>
      <c r="D81" t="s">
        <v>3041</v>
      </c>
      <c r="E81" t="s">
        <v>1835</v>
      </c>
      <c r="F81" t="s">
        <v>1834</v>
      </c>
      <c r="G81" t="s">
        <v>3042</v>
      </c>
      <c r="H81" t="s">
        <v>3170</v>
      </c>
    </row>
    <row r="82" spans="1:8" x14ac:dyDescent="0.25">
      <c r="A82" t="s">
        <v>3163</v>
      </c>
      <c r="B82" t="s">
        <v>3212</v>
      </c>
      <c r="C82" t="s">
        <v>2700</v>
      </c>
      <c r="D82" t="s">
        <v>3043</v>
      </c>
      <c r="E82" t="s">
        <v>3044</v>
      </c>
      <c r="F82" t="s">
        <v>3045</v>
      </c>
      <c r="G82" t="s">
        <v>3046</v>
      </c>
      <c r="H82" t="s">
        <v>3170</v>
      </c>
    </row>
    <row r="83" spans="1:8" x14ac:dyDescent="0.25">
      <c r="A83" t="s">
        <v>3163</v>
      </c>
      <c r="B83" t="s">
        <v>2683</v>
      </c>
      <c r="C83" t="s">
        <v>335</v>
      </c>
      <c r="D83" t="s">
        <v>4044</v>
      </c>
      <c r="E83" t="s">
        <v>4127</v>
      </c>
      <c r="F83" t="s">
        <v>3695</v>
      </c>
      <c r="G83" t="s">
        <v>3047</v>
      </c>
      <c r="H83" t="s">
        <v>3237</v>
      </c>
    </row>
    <row r="84" spans="1:8" x14ac:dyDescent="0.25">
      <c r="A84" t="s">
        <v>3163</v>
      </c>
      <c r="B84" t="s">
        <v>2681</v>
      </c>
      <c r="C84" t="s">
        <v>414</v>
      </c>
      <c r="D84" t="s">
        <v>3048</v>
      </c>
      <c r="E84" t="s">
        <v>3049</v>
      </c>
      <c r="F84" t="s">
        <v>3050</v>
      </c>
      <c r="G84" t="s">
        <v>3051</v>
      </c>
      <c r="H84" t="s">
        <v>3204</v>
      </c>
    </row>
    <row r="85" spans="1:8" x14ac:dyDescent="0.25">
      <c r="A85" t="s">
        <v>3163</v>
      </c>
      <c r="B85" t="s">
        <v>2685</v>
      </c>
      <c r="C85" t="s">
        <v>1116</v>
      </c>
      <c r="D85" t="s">
        <v>3052</v>
      </c>
      <c r="E85" t="s">
        <v>3053</v>
      </c>
      <c r="F85" t="s">
        <v>3054</v>
      </c>
      <c r="G85" t="s">
        <v>3055</v>
      </c>
      <c r="H85" t="s">
        <v>3170</v>
      </c>
    </row>
    <row r="86" spans="1:8" x14ac:dyDescent="0.25">
      <c r="A86" t="s">
        <v>3163</v>
      </c>
      <c r="B86" t="s">
        <v>3206</v>
      </c>
      <c r="C86" t="s">
        <v>932</v>
      </c>
      <c r="D86" t="s">
        <v>3056</v>
      </c>
      <c r="E86" t="s">
        <v>3057</v>
      </c>
      <c r="F86" t="s">
        <v>3058</v>
      </c>
      <c r="G86" t="s">
        <v>3059</v>
      </c>
      <c r="H86" t="s">
        <v>3207</v>
      </c>
    </row>
    <row r="87" spans="1:8" x14ac:dyDescent="0.25">
      <c r="A87" t="s">
        <v>3163</v>
      </c>
      <c r="B87" t="s">
        <v>3217</v>
      </c>
      <c r="C87" t="s">
        <v>495</v>
      </c>
      <c r="D87" t="s">
        <v>3060</v>
      </c>
      <c r="E87" t="s">
        <v>3061</v>
      </c>
      <c r="F87" t="s">
        <v>3062</v>
      </c>
      <c r="G87" t="s">
        <v>3063</v>
      </c>
      <c r="H87" t="s">
        <v>494</v>
      </c>
    </row>
    <row r="88" spans="1:8" x14ac:dyDescent="0.25">
      <c r="A88" t="s">
        <v>3163</v>
      </c>
      <c r="B88" t="s">
        <v>3256</v>
      </c>
      <c r="C88" t="s">
        <v>682</v>
      </c>
      <c r="D88" t="s">
        <v>3064</v>
      </c>
      <c r="E88" t="s">
        <v>681</v>
      </c>
      <c r="F88" t="s">
        <v>3065</v>
      </c>
      <c r="G88" t="s">
        <v>3066</v>
      </c>
      <c r="H88" t="s">
        <v>3257</v>
      </c>
    </row>
    <row r="89" spans="1:8" x14ac:dyDescent="0.25">
      <c r="A89" t="s">
        <v>3163</v>
      </c>
      <c r="B89" t="s">
        <v>2679</v>
      </c>
      <c r="C89" t="s">
        <v>88</v>
      </c>
      <c r="D89" t="s">
        <v>3067</v>
      </c>
      <c r="E89" t="s">
        <v>3068</v>
      </c>
      <c r="F89" t="s">
        <v>3069</v>
      </c>
      <c r="G89" t="s">
        <v>3070</v>
      </c>
      <c r="H89" t="s">
        <v>3170</v>
      </c>
    </row>
    <row r="90" spans="1:8" x14ac:dyDescent="0.25">
      <c r="A90" t="s">
        <v>3163</v>
      </c>
      <c r="B90" t="s">
        <v>2714</v>
      </c>
      <c r="C90" t="s">
        <v>2713</v>
      </c>
      <c r="D90" t="s">
        <v>3071</v>
      </c>
      <c r="E90" t="s">
        <v>3072</v>
      </c>
      <c r="F90" t="s">
        <v>3073</v>
      </c>
      <c r="G90" t="s">
        <v>3074</v>
      </c>
      <c r="H90" t="s">
        <v>3170</v>
      </c>
    </row>
    <row r="91" spans="1:8" x14ac:dyDescent="0.25">
      <c r="A91" t="s">
        <v>3163</v>
      </c>
      <c r="B91" t="s">
        <v>2556</v>
      </c>
      <c r="C91" t="s">
        <v>126</v>
      </c>
      <c r="D91" t="s">
        <v>3075</v>
      </c>
      <c r="E91" t="s">
        <v>3076</v>
      </c>
      <c r="F91" t="s">
        <v>3077</v>
      </c>
      <c r="G91" t="s">
        <v>3078</v>
      </c>
      <c r="H91" t="s">
        <v>3236</v>
      </c>
    </row>
    <row r="92" spans="1:8" x14ac:dyDescent="0.25">
      <c r="A92" t="s">
        <v>3163</v>
      </c>
      <c r="B92" t="s">
        <v>2689</v>
      </c>
      <c r="C92" t="s">
        <v>521</v>
      </c>
      <c r="D92" t="s">
        <v>3079</v>
      </c>
      <c r="E92" t="s">
        <v>3080</v>
      </c>
      <c r="F92" t="s">
        <v>3081</v>
      </c>
      <c r="G92" t="s">
        <v>3082</v>
      </c>
      <c r="H92" t="s">
        <v>3170</v>
      </c>
    </row>
    <row r="93" spans="1:8" x14ac:dyDescent="0.25">
      <c r="A93" t="s">
        <v>3163</v>
      </c>
      <c r="B93" t="s">
        <v>3215</v>
      </c>
      <c r="C93" t="s">
        <v>1784</v>
      </c>
      <c r="D93" t="s">
        <v>3083</v>
      </c>
      <c r="E93" t="s">
        <v>3084</v>
      </c>
      <c r="F93" t="s">
        <v>3085</v>
      </c>
      <c r="G93" t="s">
        <v>3086</v>
      </c>
      <c r="H93" t="s">
        <v>3170</v>
      </c>
    </row>
    <row r="94" spans="1:8" x14ac:dyDescent="0.25">
      <c r="A94" t="s">
        <v>3163</v>
      </c>
      <c r="B94" t="s">
        <v>2680</v>
      </c>
      <c r="C94" t="s">
        <v>2706</v>
      </c>
      <c r="D94" t="s">
        <v>3087</v>
      </c>
      <c r="E94" t="s">
        <v>3088</v>
      </c>
      <c r="F94" t="s">
        <v>3089</v>
      </c>
      <c r="G94" t="s">
        <v>3090</v>
      </c>
      <c r="H94" t="s">
        <v>3170</v>
      </c>
    </row>
    <row r="95" spans="1:8" x14ac:dyDescent="0.25">
      <c r="A95" t="s">
        <v>3163</v>
      </c>
      <c r="B95" t="s">
        <v>2692</v>
      </c>
      <c r="C95" t="s">
        <v>394</v>
      </c>
      <c r="D95" t="s">
        <v>3091</v>
      </c>
      <c r="E95" t="s">
        <v>2079</v>
      </c>
      <c r="F95" t="s">
        <v>2077</v>
      </c>
      <c r="G95" t="s">
        <v>3092</v>
      </c>
      <c r="H95" t="s">
        <v>3220</v>
      </c>
    </row>
    <row r="96" spans="1:8" x14ac:dyDescent="0.25">
      <c r="A96" t="s">
        <v>3163</v>
      </c>
      <c r="B96" t="s">
        <v>2712</v>
      </c>
      <c r="C96" t="s">
        <v>2711</v>
      </c>
      <c r="D96" t="s">
        <v>3093</v>
      </c>
      <c r="E96" t="s">
        <v>3094</v>
      </c>
      <c r="F96" t="s">
        <v>3095</v>
      </c>
      <c r="G96" t="s">
        <v>3096</v>
      </c>
      <c r="H96" t="s">
        <v>3171</v>
      </c>
    </row>
    <row r="97" spans="1:8" x14ac:dyDescent="0.25">
      <c r="A97" t="s">
        <v>3163</v>
      </c>
      <c r="B97" t="s">
        <v>2676</v>
      </c>
      <c r="C97" t="s">
        <v>1262</v>
      </c>
      <c r="D97" t="s">
        <v>3097</v>
      </c>
      <c r="E97" t="s">
        <v>3098</v>
      </c>
      <c r="F97" t="s">
        <v>3099</v>
      </c>
      <c r="G97" t="s">
        <v>3100</v>
      </c>
      <c r="H97" t="s">
        <v>3170</v>
      </c>
    </row>
    <row r="98" spans="1:8" x14ac:dyDescent="0.25">
      <c r="A98" t="s">
        <v>3163</v>
      </c>
      <c r="B98" t="s">
        <v>2687</v>
      </c>
      <c r="C98" t="s">
        <v>978</v>
      </c>
      <c r="D98" t="s">
        <v>3101</v>
      </c>
      <c r="E98" t="s">
        <v>977</v>
      </c>
      <c r="F98" t="s">
        <v>976</v>
      </c>
      <c r="G98" t="s">
        <v>3102</v>
      </c>
      <c r="H98" t="s">
        <v>3170</v>
      </c>
    </row>
    <row r="99" spans="1:8" x14ac:dyDescent="0.25">
      <c r="A99" t="s">
        <v>3163</v>
      </c>
      <c r="B99" t="s">
        <v>3242</v>
      </c>
      <c r="C99" t="s">
        <v>634</v>
      </c>
      <c r="D99" t="s">
        <v>3103</v>
      </c>
      <c r="E99" t="s">
        <v>3104</v>
      </c>
      <c r="F99" t="s">
        <v>3105</v>
      </c>
      <c r="G99" t="s">
        <v>3106</v>
      </c>
      <c r="H99" t="s">
        <v>3170</v>
      </c>
    </row>
    <row r="100" spans="1:8" x14ac:dyDescent="0.25">
      <c r="A100" t="s">
        <v>3163</v>
      </c>
      <c r="B100" t="s">
        <v>3205</v>
      </c>
      <c r="C100" t="s">
        <v>2724</v>
      </c>
      <c r="D100" t="s">
        <v>4080</v>
      </c>
      <c r="E100" t="s">
        <v>3775</v>
      </c>
      <c r="F100" t="s">
        <v>3776</v>
      </c>
      <c r="G100" t="s">
        <v>3107</v>
      </c>
      <c r="H100" t="s">
        <v>3170</v>
      </c>
    </row>
    <row r="101" spans="1:8" x14ac:dyDescent="0.25">
      <c r="A101" t="s">
        <v>3163</v>
      </c>
      <c r="B101" t="s">
        <v>3174</v>
      </c>
      <c r="C101" t="s">
        <v>1617</v>
      </c>
      <c r="D101" t="s">
        <v>3108</v>
      </c>
      <c r="E101" t="s">
        <v>3109</v>
      </c>
      <c r="F101" t="s">
        <v>3110</v>
      </c>
      <c r="G101" t="s">
        <v>3111</v>
      </c>
      <c r="H101" t="s">
        <v>3175</v>
      </c>
    </row>
    <row r="102" spans="1:8" x14ac:dyDescent="0.25">
      <c r="A102" t="s">
        <v>3163</v>
      </c>
      <c r="B102" t="s">
        <v>3244</v>
      </c>
      <c r="C102" t="s">
        <v>2416</v>
      </c>
      <c r="D102" t="s">
        <v>3112</v>
      </c>
      <c r="E102" t="s">
        <v>3113</v>
      </c>
      <c r="F102" t="s">
        <v>3114</v>
      </c>
      <c r="G102" t="s">
        <v>3115</v>
      </c>
      <c r="H102" t="s">
        <v>3170</v>
      </c>
    </row>
    <row r="103" spans="1:8" x14ac:dyDescent="0.25">
      <c r="A103" t="s">
        <v>3163</v>
      </c>
      <c r="B103" t="s">
        <v>2710</v>
      </c>
      <c r="C103" t="s">
        <v>1625</v>
      </c>
      <c r="D103" t="s">
        <v>3116</v>
      </c>
      <c r="E103" t="s">
        <v>1624</v>
      </c>
      <c r="F103" t="s">
        <v>1623</v>
      </c>
      <c r="G103" t="s">
        <v>3117</v>
      </c>
      <c r="H103" t="s">
        <v>1624</v>
      </c>
    </row>
    <row r="104" spans="1:8" x14ac:dyDescent="0.25">
      <c r="A104" t="s">
        <v>3163</v>
      </c>
      <c r="B104" t="s">
        <v>2682</v>
      </c>
      <c r="C104" t="s">
        <v>117</v>
      </c>
      <c r="D104" t="s">
        <v>3118</v>
      </c>
      <c r="E104" t="s">
        <v>2408</v>
      </c>
      <c r="F104" t="s">
        <v>2407</v>
      </c>
      <c r="G104" t="s">
        <v>3119</v>
      </c>
      <c r="H104" t="s">
        <v>3170</v>
      </c>
    </row>
    <row r="105" spans="1:8" x14ac:dyDescent="0.25">
      <c r="A105" t="s">
        <v>3163</v>
      </c>
      <c r="B105" t="s">
        <v>3249</v>
      </c>
      <c r="C105" t="s">
        <v>2727</v>
      </c>
      <c r="D105" t="s">
        <v>4090</v>
      </c>
      <c r="E105" t="s">
        <v>3802</v>
      </c>
      <c r="F105" t="s">
        <v>3803</v>
      </c>
      <c r="G105" t="s">
        <v>3120</v>
      </c>
      <c r="H105" t="s">
        <v>3250</v>
      </c>
    </row>
    <row r="106" spans="1:8" x14ac:dyDescent="0.25">
      <c r="A106" t="s">
        <v>3163</v>
      </c>
      <c r="B106" t="s">
        <v>2677</v>
      </c>
      <c r="C106" t="s">
        <v>775</v>
      </c>
      <c r="D106" t="s">
        <v>3121</v>
      </c>
      <c r="E106" t="s">
        <v>774</v>
      </c>
      <c r="F106" t="s">
        <v>773</v>
      </c>
      <c r="G106" t="s">
        <v>3122</v>
      </c>
      <c r="H106" t="s">
        <v>3170</v>
      </c>
    </row>
    <row r="107" spans="1:8" x14ac:dyDescent="0.25">
      <c r="A107" t="s">
        <v>3163</v>
      </c>
      <c r="B107" t="s">
        <v>2694</v>
      </c>
      <c r="C107" t="s">
        <v>2693</v>
      </c>
      <c r="D107" t="s">
        <v>3123</v>
      </c>
      <c r="E107" t="s">
        <v>3124</v>
      </c>
      <c r="F107" t="s">
        <v>3125</v>
      </c>
      <c r="G107" t="s">
        <v>3126</v>
      </c>
      <c r="H107" t="s">
        <v>3186</v>
      </c>
    </row>
    <row r="108" spans="1:8" x14ac:dyDescent="0.25">
      <c r="A108" t="s">
        <v>3163</v>
      </c>
      <c r="B108" t="s">
        <v>2701</v>
      </c>
      <c r="C108" t="s">
        <v>613</v>
      </c>
      <c r="D108" t="s">
        <v>3127</v>
      </c>
      <c r="E108" t="s">
        <v>3128</v>
      </c>
      <c r="F108" t="s">
        <v>3129</v>
      </c>
      <c r="G108" t="s">
        <v>3130</v>
      </c>
      <c r="H108" t="s">
        <v>3221</v>
      </c>
    </row>
    <row r="109" spans="1:8" x14ac:dyDescent="0.25">
      <c r="A109" t="s">
        <v>3163</v>
      </c>
      <c r="B109" t="s">
        <v>2716</v>
      </c>
      <c r="C109" t="s">
        <v>2728</v>
      </c>
      <c r="D109" t="s">
        <v>3131</v>
      </c>
      <c r="E109" t="s">
        <v>3132</v>
      </c>
      <c r="F109" t="s">
        <v>3133</v>
      </c>
      <c r="G109" t="s">
        <v>3134</v>
      </c>
      <c r="H109" t="s">
        <v>3170</v>
      </c>
    </row>
    <row r="110" spans="1:8" x14ac:dyDescent="0.25">
      <c r="A110" t="s">
        <v>3163</v>
      </c>
      <c r="B110" t="s">
        <v>2715</v>
      </c>
      <c r="C110" t="s">
        <v>1105</v>
      </c>
      <c r="D110" t="s">
        <v>3135</v>
      </c>
      <c r="E110" t="s">
        <v>3136</v>
      </c>
      <c r="F110" t="s">
        <v>3137</v>
      </c>
      <c r="G110" t="s">
        <v>3138</v>
      </c>
      <c r="H110" t="s">
        <v>3170</v>
      </c>
    </row>
    <row r="111" spans="1:8" x14ac:dyDescent="0.25">
      <c r="A111" t="s">
        <v>3163</v>
      </c>
      <c r="B111" t="s">
        <v>2558</v>
      </c>
      <c r="C111" t="s">
        <v>450</v>
      </c>
      <c r="D111" t="s">
        <v>3139</v>
      </c>
      <c r="E111" t="s">
        <v>3140</v>
      </c>
      <c r="F111" t="s">
        <v>3141</v>
      </c>
      <c r="G111" t="s">
        <v>3142</v>
      </c>
      <c r="H111" t="s">
        <v>3224</v>
      </c>
    </row>
    <row r="112" spans="1:8" x14ac:dyDescent="0.25">
      <c r="A112" t="s">
        <v>3163</v>
      </c>
      <c r="B112" t="s">
        <v>2708</v>
      </c>
      <c r="C112" t="s">
        <v>2725</v>
      </c>
      <c r="D112" t="s">
        <v>3143</v>
      </c>
      <c r="E112" t="s">
        <v>3144</v>
      </c>
      <c r="F112" t="s">
        <v>3145</v>
      </c>
      <c r="G112" t="s">
        <v>3146</v>
      </c>
      <c r="H112" t="s">
        <v>3176</v>
      </c>
    </row>
    <row r="113" spans="1:8" x14ac:dyDescent="0.25">
      <c r="A113" t="s">
        <v>3163</v>
      </c>
      <c r="B113" t="s">
        <v>3185</v>
      </c>
      <c r="C113" t="s">
        <v>796</v>
      </c>
      <c r="D113" t="s">
        <v>3147</v>
      </c>
      <c r="E113" t="s">
        <v>2315</v>
      </c>
      <c r="F113" t="s">
        <v>2314</v>
      </c>
      <c r="G113" t="s">
        <v>3148</v>
      </c>
      <c r="H113" t="s">
        <v>3170</v>
      </c>
    </row>
    <row r="114" spans="1:8" x14ac:dyDescent="0.25">
      <c r="A114" t="s">
        <v>3163</v>
      </c>
      <c r="B114" t="s">
        <v>2688</v>
      </c>
      <c r="C114" t="s">
        <v>547</v>
      </c>
      <c r="D114" t="s">
        <v>3149</v>
      </c>
      <c r="E114" t="s">
        <v>3150</v>
      </c>
      <c r="F114" t="s">
        <v>3151</v>
      </c>
      <c r="G114" t="s">
        <v>3152</v>
      </c>
      <c r="H114" t="s">
        <v>3164</v>
      </c>
    </row>
    <row r="115" spans="1:8" x14ac:dyDescent="0.25">
      <c r="A115" t="s">
        <v>3163</v>
      </c>
      <c r="B115" t="s">
        <v>3173</v>
      </c>
      <c r="C115" t="s">
        <v>1339</v>
      </c>
      <c r="D115" t="s">
        <v>3153</v>
      </c>
      <c r="E115" t="s">
        <v>3154</v>
      </c>
      <c r="F115" t="s">
        <v>3155</v>
      </c>
      <c r="G115" t="s">
        <v>3156</v>
      </c>
      <c r="H115" t="s">
        <v>3170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D4CA61-E5E7-480D-97EF-BB755968F0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6</vt:i4>
      </vt:variant>
    </vt:vector>
  </HeadingPairs>
  <TitlesOfParts>
    <vt:vector size="12" baseType="lpstr">
      <vt:lpstr>Liste des JA</vt:lpstr>
      <vt:lpstr>dates_rencontres</vt:lpstr>
      <vt:lpstr>Convocation JA</vt:lpstr>
      <vt:lpstr>stats</vt:lpstr>
      <vt:lpstr>Correspondant</vt:lpstr>
      <vt:lpstr>liste_club</vt:lpstr>
      <vt:lpstr>departement</vt:lpstr>
      <vt:lpstr>departement1</vt:lpstr>
      <vt:lpstr>departement2</vt:lpstr>
      <vt:lpstr>departement3</vt:lpstr>
      <vt:lpstr>departement4</vt:lpstr>
      <vt:lpstr>'Convocation JA'!Zone_d_impression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relet</dc:creator>
  <cp:lastModifiedBy>Patrick CHAUTARD</cp:lastModifiedBy>
  <cp:lastPrinted>2026-05-27T07:18:20Z</cp:lastPrinted>
  <dcterms:created xsi:type="dcterms:W3CDTF">2025-08-07T16:57:03Z</dcterms:created>
  <dcterms:modified xsi:type="dcterms:W3CDTF">2026-06-08T17:27:32Z</dcterms:modified>
</cp:coreProperties>
</file>